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 Laptop\Arya's Laptop Backup\SEM 2 SY\DS\"/>
    </mc:Choice>
  </mc:AlternateContent>
  <xr:revisionPtr revIDLastSave="0" documentId="13_ncr:1_{4A87869F-11DE-400B-B7AF-D6CD1C88FD35}" xr6:coauthVersionLast="47" xr6:coauthVersionMax="47" xr10:uidLastSave="{00000000-0000-0000-0000-000000000000}"/>
  <bookViews>
    <workbookView xWindow="-108" yWindow="-108" windowWidth="23256" windowHeight="12456" xr2:uid="{E79A4E1A-7ECC-424C-9B49-33D92041CC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1" l="1"/>
  <c r="P37" i="1"/>
  <c r="Q37" i="1"/>
  <c r="O45" i="1"/>
  <c r="P45" i="1"/>
  <c r="Q45" i="1"/>
  <c r="I63" i="1"/>
  <c r="J63" i="1"/>
  <c r="K63" i="1"/>
  <c r="I54" i="1"/>
  <c r="J54" i="1"/>
  <c r="K54" i="1"/>
  <c r="I45" i="1"/>
  <c r="J45" i="1"/>
  <c r="K45" i="1"/>
  <c r="I37" i="1"/>
  <c r="J37" i="1"/>
  <c r="K37" i="1"/>
  <c r="C63" i="1"/>
  <c r="D63" i="1"/>
  <c r="E63" i="1"/>
  <c r="C54" i="1"/>
  <c r="D54" i="1"/>
  <c r="E54" i="1"/>
  <c r="E45" i="1"/>
  <c r="D45" i="1"/>
  <c r="C45" i="1"/>
  <c r="E37" i="1"/>
  <c r="D37" i="1"/>
  <c r="C37" i="1"/>
</calcChain>
</file>

<file path=xl/sharedStrings.xml><?xml version="1.0" encoding="utf-8"?>
<sst xmlns="http://schemas.openxmlformats.org/spreadsheetml/2006/main" count="272" uniqueCount="23">
  <si>
    <t>Top 5 Variables</t>
  </si>
  <si>
    <t>Lasso</t>
  </si>
  <si>
    <t/>
  </si>
  <si>
    <t>Algorithms</t>
  </si>
  <si>
    <t>R-Squared</t>
  </si>
  <si>
    <t>MAE</t>
  </si>
  <si>
    <t>RMSE</t>
  </si>
  <si>
    <t xml:space="preserve">Decision Tree </t>
  </si>
  <si>
    <t xml:space="preserve">Random Forest </t>
  </si>
  <si>
    <t xml:space="preserve">SVR </t>
  </si>
  <si>
    <t xml:space="preserve">Gradient Boosting </t>
  </si>
  <si>
    <t>Anova</t>
  </si>
  <si>
    <t>RFE</t>
  </si>
  <si>
    <t>Forward Selection</t>
  </si>
  <si>
    <t>7 Variables</t>
  </si>
  <si>
    <t>9 Variables</t>
  </si>
  <si>
    <t xml:space="preserve">All Variables </t>
  </si>
  <si>
    <t>6 Variables</t>
  </si>
  <si>
    <t>8 Variables</t>
  </si>
  <si>
    <t>All Variables</t>
  </si>
  <si>
    <t>5  Variables</t>
  </si>
  <si>
    <t xml:space="preserve"> </t>
  </si>
  <si>
    <t>8 var lasso&gt;anova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</si>
</sst>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.5"/>
      <color rgb="FF000000"/>
      <name val="Lucida Console"/>
      <family val="3"/>
    </font>
    <font>
      <sz val="11"/>
      <color rgb="FF000000"/>
      <name val="Lucida Console"/>
      <family val="3"/>
    </font>
    <font>
      <sz val="8"/>
      <color rgb="FF000000"/>
      <name val="Lucida Console"/>
      <family val="3"/>
    </font>
    <font>
      <sz val="8"/>
      <name val="Calibri"/>
      <family val="2"/>
      <scheme val="minor"/>
    </font>
    <font>
      <sz val="19"/>
      <color rgb="FF000000"/>
      <name val="Lucida Console"/>
      <family val="3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D9E1F2"/>
      </patternFill>
    </fill>
  </fills>
  <borders count="2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rgb="FF8EA9DB"/>
      </top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8" xfId="0" applyFont="1" applyBorder="1" applyAlignment="1">
      <alignment vertical="center"/>
    </xf>
    <xf numFmtId="0" fontId="2" fillId="0" borderId="12" xfId="0" applyFont="1" applyBorder="1"/>
    <xf numFmtId="0" fontId="0" fillId="0" borderId="12" xfId="0" applyBorder="1"/>
    <xf numFmtId="0" fontId="2" fillId="5" borderId="16" xfId="0" applyFont="1" applyFill="1" applyBorder="1"/>
    <xf numFmtId="0" fontId="3" fillId="0" borderId="12" xfId="0" applyFont="1" applyBorder="1"/>
    <xf numFmtId="0" fontId="2" fillId="0" borderId="17" xfId="0" applyFont="1" applyBorder="1"/>
    <xf numFmtId="0" fontId="2" fillId="5" borderId="17" xfId="0" applyFont="1" applyFill="1" applyBorder="1"/>
    <xf numFmtId="0" fontId="2" fillId="0" borderId="18" xfId="0" applyFont="1" applyBorder="1"/>
    <xf numFmtId="0" fontId="3" fillId="0" borderId="8" xfId="0" applyFont="1" applyBorder="1"/>
    <xf numFmtId="0" fontId="2" fillId="0" borderId="1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6" fillId="4" borderId="0" xfId="0" applyFont="1" applyFill="1" applyAlignment="1">
      <alignment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14" xfId="0" applyFont="1" applyFill="1" applyBorder="1"/>
    <xf numFmtId="0" fontId="2" fillId="3" borderId="14" xfId="0" applyFont="1" applyFill="1" applyBorder="1" applyAlignment="1">
      <alignment vertical="center"/>
    </xf>
    <xf numFmtId="0" fontId="0" fillId="3" borderId="15" xfId="0" applyFont="1" applyFill="1" applyBorder="1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5" borderId="24" xfId="0" applyFont="1" applyFill="1" applyBorder="1"/>
    <xf numFmtId="0" fontId="2" fillId="5" borderId="25" xfId="0" applyFont="1" applyFill="1" applyBorder="1"/>
    <xf numFmtId="0" fontId="2" fillId="5" borderId="25" xfId="0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0" xfId="0" applyFont="1" applyBorder="1"/>
    <xf numFmtId="0" fontId="0" fillId="0" borderId="11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7" fillId="0" borderId="25" xfId="0" applyFont="1" applyBorder="1"/>
    <xf numFmtId="0" fontId="7" fillId="0" borderId="26" xfId="0" applyFont="1" applyBorder="1"/>
    <xf numFmtId="0" fontId="2" fillId="0" borderId="2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035F6-40B2-4C58-B796-E136A8A3E05A}" name="Table5" displayName="Table5" ref="B4:E28" totalsRowShown="0">
  <autoFilter ref="B4:E28" xr:uid="{DEC035F6-40B2-4C58-B796-E136A8A3E05A}"/>
  <tableColumns count="4">
    <tableColumn id="1" xr3:uid="{12413600-73CB-4C83-851F-42D6D25C56F4}" name="Algorithms"/>
    <tableColumn id="2" xr3:uid="{5CE8D49B-EE87-41EE-99E9-6A0596E22D62}" name="R-Squared"/>
    <tableColumn id="3" xr3:uid="{6B919879-5410-424F-91E1-DB7D3FCAD0F0}" name="MAE"/>
    <tableColumn id="4" xr3:uid="{082D6509-69EE-4AF4-9A70-D7B6A2954E6B}" name="RM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E18AC-A9A0-40CB-8BB5-44D6118B8584}" name="Table6" displayName="Table6" ref="H4:K28" totalsRowShown="0">
  <autoFilter ref="H4:K28" xr:uid="{49CE18AC-A9A0-40CB-8BB5-44D6118B8584}"/>
  <tableColumns count="4">
    <tableColumn id="1" xr3:uid="{D843ED4A-3B34-409E-AE43-133461DF2C0B}" name="Algorithms"/>
    <tableColumn id="2" xr3:uid="{3D61A69E-92F9-435F-94F1-BA03B217E07D}" name="R-Squared"/>
    <tableColumn id="3" xr3:uid="{AA4A45F5-E16C-4B01-A528-1AA8C674801E}" name="MAE"/>
    <tableColumn id="4" xr3:uid="{F399BA7A-05C8-489A-9252-7A5107CDD752}" name="RM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809F9-38DB-461F-A2E1-169C7FBFD557}" name="Table7" displayName="Table7" ref="N4:Q28" totalsRowShown="0">
  <autoFilter ref="N4:Q28" xr:uid="{47D809F9-38DB-461F-A2E1-169C7FBFD557}"/>
  <tableColumns count="4">
    <tableColumn id="1" xr3:uid="{4C39C688-5AB4-4320-9C2F-B6AF0BC0FD23}" name="Algorithms"/>
    <tableColumn id="2" xr3:uid="{D673EC51-857B-41D2-8D3C-B89E651EC859}" name="R-Squared"/>
    <tableColumn id="3" xr3:uid="{A406607D-2851-451A-B53A-9E7508471265}" name="MAE"/>
    <tableColumn id="4" xr3:uid="{8A7C73CC-B159-488A-B9E2-CBF4136D048E}" name="RM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19618D-7163-4C6F-80C1-98A592318044}" name="Table8" displayName="Table8" ref="T4:W28" totalsRowShown="0">
  <autoFilter ref="T4:W28" xr:uid="{6119618D-7163-4C6F-80C1-98A592318044}"/>
  <tableColumns count="4">
    <tableColumn id="1" xr3:uid="{3516F57A-D30C-46CF-826F-71517CB31504}" name="Algorithms"/>
    <tableColumn id="2" xr3:uid="{4F343127-36E7-4533-AA90-60B6DADCF13F}" name="R-Squared"/>
    <tableColumn id="3" xr3:uid="{C77956E8-88EE-4CC3-B132-6ADF226921D6}" name="MAE"/>
    <tableColumn id="4" xr3:uid="{4ABADCDF-1B92-427C-95C1-F051FEBFC5B1}" name="RM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7361E50-F721-4130-9A76-EE7A57DA90DF}" name="Table518" displayName="Table518" ref="B4:E28" totalsRowShown="0">
  <autoFilter ref="B4:E28" xr:uid="{97361E50-F721-4130-9A76-EE7A57DA90DF}"/>
  <tableColumns count="4">
    <tableColumn id="1" xr3:uid="{21A6B067-E924-41B1-9B65-291A9CD305AD}" name="Algorithms"/>
    <tableColumn id="2" xr3:uid="{BD21942D-6EAD-448B-A700-F5A5DCFCCBE0}" name="R-Squared"/>
    <tableColumn id="3" xr3:uid="{2E01C0F7-6302-4279-A783-539E2B0B1EB8}" name="MAE"/>
    <tableColumn id="4" xr3:uid="{7ADB9543-26C0-4218-A9E4-3F5FC86AA0AD}" name="RM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CFA17A-DC4A-4E5C-B885-A680BC71D488}" name="Table619" displayName="Table619" ref="H4:K28" totalsRowShown="0">
  <autoFilter ref="H4:K28" xr:uid="{DCCFA17A-DC4A-4E5C-B885-A680BC71D488}"/>
  <tableColumns count="4">
    <tableColumn id="1" xr3:uid="{54444891-7304-4131-8E7F-0CBBA253FA2B}" name="Algorithms"/>
    <tableColumn id="2" xr3:uid="{01996B71-DB0D-4E4E-A6BF-7947CA592236}" name="R-Squared"/>
    <tableColumn id="3" xr3:uid="{D58B2539-EFAE-465B-AD11-F7D8FFC4B3FD}" name="MAE"/>
    <tableColumn id="4" xr3:uid="{E87F8303-EB58-4D8F-972C-15E3DF26448A}" name="RM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43AA455-1959-478F-838E-BBCE7106C0E6}" name="Table720" displayName="Table720" ref="N4:Q28" totalsRowShown="0">
  <autoFilter ref="N4:Q28" xr:uid="{C43AA455-1959-478F-838E-BBCE7106C0E6}"/>
  <tableColumns count="4">
    <tableColumn id="1" xr3:uid="{04C80932-8E6B-4560-9D11-E26365CE92EB}" name="Algorithms"/>
    <tableColumn id="2" xr3:uid="{5E0C26AF-9D31-4018-9005-5554602923F5}" name="R-Squared"/>
    <tableColumn id="3" xr3:uid="{F8167C6C-94B3-402C-BF08-01B0EC6A366F}" name="MAE"/>
    <tableColumn id="4" xr3:uid="{D8F74389-0E79-41CD-A36F-5552EC1E0E70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8A1D-3E99-4FA2-BB40-B611DA30745B}">
  <dimension ref="A2:AB121"/>
  <sheetViews>
    <sheetView tabSelected="1" topLeftCell="I1" zoomScale="69" zoomScaleNormal="60" workbookViewId="0">
      <selection activeCell="S36" sqref="S36"/>
    </sheetView>
  </sheetViews>
  <sheetFormatPr defaultRowHeight="14.4" x14ac:dyDescent="0.3"/>
  <cols>
    <col min="1" max="1" width="11" bestFit="1" customWidth="1"/>
    <col min="2" max="2" width="21.33203125" bestFit="1" customWidth="1"/>
    <col min="3" max="3" width="12" bestFit="1" customWidth="1"/>
    <col min="4" max="5" width="13.33203125" bestFit="1" customWidth="1"/>
    <col min="8" max="8" width="21.33203125" bestFit="1" customWidth="1"/>
    <col min="9" max="11" width="12.109375" bestFit="1" customWidth="1"/>
    <col min="14" max="14" width="21.33203125" bestFit="1" customWidth="1"/>
    <col min="15" max="15" width="17.77734375" bestFit="1" customWidth="1"/>
    <col min="16" max="16" width="12.109375" bestFit="1" customWidth="1"/>
    <col min="17" max="17" width="12.5546875" bestFit="1" customWidth="1"/>
    <col min="20" max="20" width="21.33203125" bestFit="1" customWidth="1"/>
    <col min="21" max="21" width="17.77734375" bestFit="1" customWidth="1"/>
    <col min="22" max="23" width="13.33203125" bestFit="1" customWidth="1"/>
  </cols>
  <sheetData>
    <row r="2" spans="1:28" ht="18" x14ac:dyDescent="0.35">
      <c r="B2" s="1" t="s">
        <v>0</v>
      </c>
    </row>
    <row r="3" spans="1:28" ht="18" x14ac:dyDescent="0.35">
      <c r="B3" s="2" t="s">
        <v>1</v>
      </c>
      <c r="C3" s="3" t="s">
        <v>2</v>
      </c>
      <c r="H3" s="2" t="s">
        <v>11</v>
      </c>
      <c r="N3" s="2" t="s">
        <v>12</v>
      </c>
      <c r="T3" s="2" t="s">
        <v>13</v>
      </c>
    </row>
    <row r="4" spans="1:28" x14ac:dyDescent="0.3">
      <c r="B4" t="s">
        <v>3</v>
      </c>
      <c r="C4" t="s">
        <v>4</v>
      </c>
      <c r="D4" t="s">
        <v>5</v>
      </c>
      <c r="E4" t="s">
        <v>6</v>
      </c>
      <c r="H4" t="s">
        <v>3</v>
      </c>
      <c r="I4" t="s">
        <v>4</v>
      </c>
      <c r="J4" t="s">
        <v>5</v>
      </c>
      <c r="K4" t="s">
        <v>6</v>
      </c>
      <c r="N4" t="s">
        <v>3</v>
      </c>
      <c r="O4" t="s">
        <v>4</v>
      </c>
      <c r="P4" t="s">
        <v>5</v>
      </c>
      <c r="Q4" t="s">
        <v>6</v>
      </c>
      <c r="T4" t="s">
        <v>3</v>
      </c>
      <c r="U4" t="s">
        <v>4</v>
      </c>
      <c r="V4" t="s">
        <v>5</v>
      </c>
      <c r="W4" t="s">
        <v>6</v>
      </c>
    </row>
    <row r="5" spans="1:28" x14ac:dyDescent="0.3">
      <c r="A5" s="43">
        <v>5</v>
      </c>
      <c r="B5" s="22" t="s">
        <v>7</v>
      </c>
      <c r="C5" s="22">
        <v>0.83862990000000004</v>
      </c>
      <c r="D5" s="30">
        <v>3.958917E-2</v>
      </c>
      <c r="E5" s="22">
        <v>5.1007179999999999E-2</v>
      </c>
      <c r="F5" s="23"/>
      <c r="G5" s="43"/>
      <c r="H5" s="22" t="s">
        <v>7</v>
      </c>
      <c r="I5" s="22">
        <v>0.83862990000000004</v>
      </c>
      <c r="J5" s="22">
        <v>3.958917E-2</v>
      </c>
      <c r="K5" s="22">
        <v>5.1007179999999999E-2</v>
      </c>
      <c r="L5" s="23"/>
      <c r="M5" s="47" t="s">
        <v>20</v>
      </c>
      <c r="N5" s="22" t="s">
        <v>7</v>
      </c>
      <c r="O5" s="22">
        <v>0.81579279999999998</v>
      </c>
      <c r="P5" s="22">
        <v>4.4486730000000002E-2</v>
      </c>
      <c r="Q5" s="22">
        <v>5.449706E-2</v>
      </c>
      <c r="R5" s="23"/>
      <c r="S5" s="44"/>
      <c r="T5" s="22" t="s">
        <v>7</v>
      </c>
      <c r="U5" s="23">
        <v>0.64501640000000005</v>
      </c>
      <c r="V5" s="22">
        <v>6.5162629999999999E-2</v>
      </c>
      <c r="W5" s="22">
        <v>7.5652620000000004E-2</v>
      </c>
    </row>
    <row r="6" spans="1:28" x14ac:dyDescent="0.3">
      <c r="A6" s="44"/>
      <c r="B6" s="4" t="s">
        <v>8</v>
      </c>
      <c r="C6" s="4">
        <v>0.82067040000000002</v>
      </c>
      <c r="D6" s="4">
        <v>4.4041450000000003E-2</v>
      </c>
      <c r="E6" s="5">
        <v>5.3770720000000001E-2</v>
      </c>
      <c r="G6" s="44"/>
      <c r="H6" s="4" t="s">
        <v>8</v>
      </c>
      <c r="I6" s="4">
        <v>0.82222430000000002</v>
      </c>
      <c r="J6" s="4">
        <v>4.3391979999999997E-2</v>
      </c>
      <c r="K6" s="4">
        <v>5.353724E-2</v>
      </c>
      <c r="M6" s="48"/>
      <c r="N6" s="4" t="s">
        <v>8</v>
      </c>
      <c r="O6" s="4">
        <v>0.84630499999999997</v>
      </c>
      <c r="P6" s="5">
        <v>4.0549309999999998E-2</v>
      </c>
      <c r="Q6" s="4">
        <v>4.9779410000000003E-2</v>
      </c>
      <c r="S6" s="44"/>
      <c r="T6" s="4" t="s">
        <v>8</v>
      </c>
      <c r="U6" s="4">
        <v>0.69806159999999995</v>
      </c>
      <c r="V6" s="4">
        <v>5.7721179999999997E-2</v>
      </c>
      <c r="W6" s="4">
        <v>6.9771650000000004E-2</v>
      </c>
      <c r="Z6" s="9"/>
      <c r="AA6" s="9"/>
      <c r="AB6" s="9"/>
    </row>
    <row r="7" spans="1:28" x14ac:dyDescent="0.3">
      <c r="A7" s="44"/>
      <c r="B7" s="4" t="s">
        <v>9</v>
      </c>
      <c r="C7" s="4">
        <v>0.83412629999999999</v>
      </c>
      <c r="D7" s="4">
        <v>3.9827399999999999E-2</v>
      </c>
      <c r="E7" s="4">
        <v>5.1714049999999998E-2</v>
      </c>
      <c r="G7" s="44"/>
      <c r="H7" s="4" t="s">
        <v>9</v>
      </c>
      <c r="I7" s="4">
        <v>5.4632739999999999E-2</v>
      </c>
      <c r="J7" s="4">
        <v>4.1489230000000002E-2</v>
      </c>
      <c r="K7" s="4">
        <v>5.4632739999999999E-2</v>
      </c>
      <c r="M7" s="48"/>
      <c r="N7" s="4" t="s">
        <v>9</v>
      </c>
      <c r="O7" s="4">
        <v>0.80134479999999997</v>
      </c>
      <c r="P7" s="4">
        <v>4.3310010000000003E-2</v>
      </c>
      <c r="Q7" s="4">
        <v>5.6593919999999999E-2</v>
      </c>
      <c r="S7" s="44"/>
      <c r="T7" s="4" t="s">
        <v>9</v>
      </c>
      <c r="U7" s="4">
        <v>0.65847579999999994</v>
      </c>
      <c r="V7" s="4">
        <v>5.8882570000000002E-2</v>
      </c>
      <c r="W7" s="4">
        <v>7.4204560000000003E-2</v>
      </c>
      <c r="Z7" s="9"/>
    </row>
    <row r="8" spans="1:28" x14ac:dyDescent="0.3">
      <c r="A8" s="44"/>
      <c r="B8" s="4" t="s">
        <v>10</v>
      </c>
      <c r="C8" s="5">
        <v>0.80437060000000005</v>
      </c>
      <c r="D8" s="5">
        <v>4.5923060000000002E-2</v>
      </c>
      <c r="E8" s="4">
        <v>5.6161259999999998E-2</v>
      </c>
      <c r="G8" s="44"/>
      <c r="H8" s="4" t="s">
        <v>10</v>
      </c>
      <c r="I8" s="4">
        <v>5.6603580000000001E-2</v>
      </c>
      <c r="J8" s="4">
        <v>4.6088530000000003E-2</v>
      </c>
      <c r="K8" s="5">
        <v>5.6603580000000001E-2</v>
      </c>
      <c r="M8" s="48"/>
      <c r="N8" s="4" t="s">
        <v>10</v>
      </c>
      <c r="O8" s="4">
        <v>0.80027539999999997</v>
      </c>
      <c r="P8" s="4">
        <v>4.6293319999999999E-2</v>
      </c>
      <c r="Q8" s="4">
        <v>5.6746039999999998E-2</v>
      </c>
      <c r="S8" s="44"/>
      <c r="T8" s="4" t="s">
        <v>10</v>
      </c>
      <c r="U8" s="5">
        <v>0.6606533</v>
      </c>
      <c r="V8" s="4">
        <v>6.3000749999999994E-2</v>
      </c>
      <c r="W8" s="4">
        <v>7.3967619999999998E-2</v>
      </c>
      <c r="Z8" s="9"/>
    </row>
    <row r="9" spans="1:28" x14ac:dyDescent="0.3">
      <c r="A9" s="43">
        <v>6</v>
      </c>
      <c r="B9" s="22" t="s">
        <v>7</v>
      </c>
      <c r="C9" s="23">
        <v>0.83862990000000004</v>
      </c>
      <c r="D9" s="23">
        <v>3.958917E-2</v>
      </c>
      <c r="E9" s="23">
        <v>5.1007179999999999E-2</v>
      </c>
      <c r="F9" s="23"/>
      <c r="G9" s="43"/>
      <c r="H9" s="36" t="s">
        <v>7</v>
      </c>
      <c r="I9" s="23">
        <v>0.83862990000000004</v>
      </c>
      <c r="J9" s="23">
        <v>3.958917E-2</v>
      </c>
      <c r="K9" s="23">
        <v>5.1007179999999999E-2</v>
      </c>
      <c r="L9" s="23"/>
      <c r="M9" s="49" t="s">
        <v>17</v>
      </c>
      <c r="N9" s="36" t="s">
        <v>7</v>
      </c>
      <c r="O9" s="23">
        <v>0.83862990000000004</v>
      </c>
      <c r="P9" s="23">
        <v>3.958917E-2</v>
      </c>
      <c r="Q9" s="23">
        <v>5.1007179999999999E-2</v>
      </c>
      <c r="R9" s="23"/>
      <c r="S9" s="44"/>
      <c r="T9" s="22" t="s">
        <v>7</v>
      </c>
      <c r="U9" s="23">
        <v>0.64501640000000005</v>
      </c>
      <c r="V9" s="22">
        <v>6.5162629999999999E-2</v>
      </c>
      <c r="W9" s="22">
        <v>7.5652620000000004E-2</v>
      </c>
      <c r="Z9" s="9"/>
    </row>
    <row r="10" spans="1:28" x14ac:dyDescent="0.3">
      <c r="A10" s="44"/>
      <c r="B10" s="4" t="s">
        <v>8</v>
      </c>
      <c r="C10">
        <v>0.88180270000000005</v>
      </c>
      <c r="D10">
        <v>3.3912379999999999E-2</v>
      </c>
      <c r="E10">
        <v>4.3653949999999997E-2</v>
      </c>
      <c r="G10" s="44"/>
      <c r="H10" s="14" t="s">
        <v>8</v>
      </c>
      <c r="I10">
        <v>0.88261690000000004</v>
      </c>
      <c r="J10">
        <v>3.3221870000000001E-2</v>
      </c>
      <c r="K10">
        <v>4.0330009999999999E-2</v>
      </c>
      <c r="M10" s="50"/>
      <c r="N10" s="14" t="s">
        <v>8</v>
      </c>
      <c r="O10">
        <v>0.880324</v>
      </c>
      <c r="P10">
        <v>3.3779120000000003E-2</v>
      </c>
      <c r="Q10">
        <v>4.3926180000000002E-2</v>
      </c>
      <c r="S10" s="44"/>
      <c r="T10" s="4" t="s">
        <v>8</v>
      </c>
      <c r="U10" s="4">
        <v>0.74882499999999996</v>
      </c>
      <c r="V10" s="4">
        <v>5.14089E-2</v>
      </c>
      <c r="W10" s="4">
        <v>6.3636750000000006E-2</v>
      </c>
      <c r="Z10" s="8"/>
    </row>
    <row r="11" spans="1:28" x14ac:dyDescent="0.3">
      <c r="A11" s="44"/>
      <c r="B11" s="4" t="s">
        <v>9</v>
      </c>
      <c r="C11">
        <v>0.84484619999999999</v>
      </c>
      <c r="D11">
        <v>3.7887619999999997E-2</v>
      </c>
      <c r="E11">
        <v>5.0015089999999998E-2</v>
      </c>
      <c r="G11" s="44"/>
      <c r="H11" s="11" t="s">
        <v>9</v>
      </c>
      <c r="I11">
        <v>0.83071309999999998</v>
      </c>
      <c r="J11">
        <v>3.9459609999999999E-2</v>
      </c>
      <c r="K11">
        <v>4.5984070000000002E-2</v>
      </c>
      <c r="M11" s="50"/>
      <c r="N11" s="11" t="s">
        <v>9</v>
      </c>
      <c r="O11">
        <v>0.84484619999999999</v>
      </c>
      <c r="P11">
        <v>3.7887619999999997E-2</v>
      </c>
      <c r="Q11">
        <v>5.0015089999999998E-2</v>
      </c>
      <c r="S11" s="44"/>
      <c r="T11" s="4" t="s">
        <v>9</v>
      </c>
      <c r="U11" s="4">
        <v>0.6624466</v>
      </c>
      <c r="V11" s="4">
        <v>5.8575910000000002E-2</v>
      </c>
      <c r="W11" s="4">
        <v>7.3771909999999996E-2</v>
      </c>
      <c r="Z11" s="9"/>
    </row>
    <row r="12" spans="1:28" x14ac:dyDescent="0.3">
      <c r="A12" s="45"/>
      <c r="B12" s="20" t="s">
        <v>10</v>
      </c>
      <c r="C12" s="32">
        <v>0.80589909999999998</v>
      </c>
      <c r="D12" s="32">
        <v>4.5402949999999997E-2</v>
      </c>
      <c r="E12" s="32">
        <v>5.594143E-2</v>
      </c>
      <c r="F12" s="32"/>
      <c r="G12" s="45"/>
      <c r="H12" s="33" t="s">
        <v>10</v>
      </c>
      <c r="I12" s="32">
        <v>0.80574279999999998</v>
      </c>
      <c r="J12" s="32">
        <v>4.5204790000000002E-2</v>
      </c>
      <c r="K12" s="32">
        <v>5.4795299999999998E-2</v>
      </c>
      <c r="L12" s="32"/>
      <c r="M12" s="51"/>
      <c r="N12" s="33" t="s">
        <v>10</v>
      </c>
      <c r="O12" s="32">
        <v>0.80482929999999997</v>
      </c>
      <c r="P12" s="32">
        <v>4.5256449999999997E-2</v>
      </c>
      <c r="Q12" s="32">
        <v>5.609538E-2</v>
      </c>
      <c r="R12" s="32"/>
      <c r="S12" s="44"/>
      <c r="T12" s="20" t="s">
        <v>10</v>
      </c>
      <c r="U12" s="21">
        <v>0.6824886</v>
      </c>
      <c r="V12" s="21">
        <v>6.1359030000000002E-2</v>
      </c>
      <c r="W12" s="20">
        <v>7.1548319999999999E-2</v>
      </c>
      <c r="Z12" s="9"/>
    </row>
    <row r="13" spans="1:28" x14ac:dyDescent="0.3">
      <c r="A13" s="44">
        <v>7</v>
      </c>
      <c r="B13" s="4" t="s">
        <v>7</v>
      </c>
      <c r="C13" s="4">
        <v>0.83862990000000004</v>
      </c>
      <c r="D13" s="4">
        <v>3.958917E-2</v>
      </c>
      <c r="E13" s="4">
        <v>5.1007179999999999E-2</v>
      </c>
      <c r="G13" s="46"/>
      <c r="H13" s="39" t="s">
        <v>7</v>
      </c>
      <c r="I13" s="40">
        <v>0.83862990000000004</v>
      </c>
      <c r="J13" s="40">
        <v>3.958917E-2</v>
      </c>
      <c r="K13" s="41">
        <v>5.1007179999999999E-2</v>
      </c>
      <c r="M13" s="48" t="s">
        <v>14</v>
      </c>
      <c r="N13" s="4" t="s">
        <v>7</v>
      </c>
      <c r="O13" s="4">
        <v>0.83862990000000004</v>
      </c>
      <c r="P13" s="4">
        <v>3.958917E-2</v>
      </c>
      <c r="Q13" s="5">
        <v>5.1007179999999999E-2</v>
      </c>
      <c r="S13" s="44"/>
      <c r="T13" s="22" t="s">
        <v>7</v>
      </c>
      <c r="U13" s="22">
        <v>0.64501640000000005</v>
      </c>
      <c r="V13" s="22">
        <v>6.5162629999999999E-2</v>
      </c>
      <c r="W13" s="22">
        <v>7.5652620000000004E-2</v>
      </c>
      <c r="Z13" s="9"/>
    </row>
    <row r="14" spans="1:28" x14ac:dyDescent="0.3">
      <c r="A14" s="44"/>
      <c r="B14" s="4" t="s">
        <v>8</v>
      </c>
      <c r="C14" s="4">
        <v>0.89959599999999995</v>
      </c>
      <c r="D14" s="4">
        <v>3.1721680000000002E-2</v>
      </c>
      <c r="E14" s="4">
        <v>4.0234199999999998E-2</v>
      </c>
      <c r="G14" s="46"/>
      <c r="H14" s="14" t="s">
        <v>8</v>
      </c>
      <c r="I14" s="15">
        <v>0.87989600000000001</v>
      </c>
      <c r="J14" s="15">
        <v>3.3504340000000001E-2</v>
      </c>
      <c r="K14" s="16">
        <v>4.1154509999999998E-2</v>
      </c>
      <c r="M14" s="48"/>
      <c r="N14" s="4" t="s">
        <v>8</v>
      </c>
      <c r="O14" s="4">
        <v>0.89495020000000003</v>
      </c>
      <c r="P14" s="4">
        <v>3.2232629999999998E-2</v>
      </c>
      <c r="Q14" s="4">
        <v>4.1154509999999998E-2</v>
      </c>
      <c r="S14" s="44"/>
      <c r="T14" s="4" t="s">
        <v>8</v>
      </c>
      <c r="U14" s="4">
        <v>0.7474923</v>
      </c>
      <c r="V14" s="4">
        <v>5.1351349999999997E-2</v>
      </c>
      <c r="W14" s="5">
        <v>6.3805360000000005E-2</v>
      </c>
      <c r="Z14" s="9"/>
    </row>
    <row r="15" spans="1:28" x14ac:dyDescent="0.3">
      <c r="A15" s="44"/>
      <c r="B15" s="4" t="s">
        <v>9</v>
      </c>
      <c r="C15" s="4">
        <v>0.86021789999999998</v>
      </c>
      <c r="D15" s="4">
        <v>3.619004E-2</v>
      </c>
      <c r="E15" s="4">
        <v>4.7472880000000002E-2</v>
      </c>
      <c r="G15" s="46"/>
      <c r="H15" s="11" t="s">
        <v>9</v>
      </c>
      <c r="I15" s="12">
        <v>0.83688379999999996</v>
      </c>
      <c r="J15" s="12">
        <v>3.8749659999999998E-2</v>
      </c>
      <c r="K15" s="13">
        <v>4.5301649999999999E-2</v>
      </c>
      <c r="M15" s="48"/>
      <c r="N15" s="4" t="s">
        <v>9</v>
      </c>
      <c r="O15" s="4">
        <v>0.87271169999999998</v>
      </c>
      <c r="P15" s="4">
        <v>3.5588509999999997E-2</v>
      </c>
      <c r="Q15" s="4">
        <v>4.5301649999999999E-2</v>
      </c>
      <c r="S15" s="44"/>
      <c r="T15" s="4" t="s">
        <v>9</v>
      </c>
      <c r="U15" s="4">
        <v>0.67216030000000004</v>
      </c>
      <c r="V15" s="4">
        <v>5.8280640000000002E-2</v>
      </c>
      <c r="W15" s="4">
        <v>7.2702710000000004E-2</v>
      </c>
      <c r="Z15" s="8"/>
    </row>
    <row r="16" spans="1:28" x14ac:dyDescent="0.3">
      <c r="A16" s="44"/>
      <c r="B16" s="4" t="s">
        <v>10</v>
      </c>
      <c r="C16" s="4">
        <v>0.80991040000000003</v>
      </c>
      <c r="D16" s="4">
        <v>4.4993459999999999E-2</v>
      </c>
      <c r="E16" s="4">
        <v>5.5360369999999999E-2</v>
      </c>
      <c r="G16" s="46"/>
      <c r="H16" s="17" t="s">
        <v>10</v>
      </c>
      <c r="I16" s="18">
        <v>0.7991878</v>
      </c>
      <c r="J16" s="18">
        <v>4.5995979999999999E-2</v>
      </c>
      <c r="K16" s="19">
        <v>5.4712829999999997E-2</v>
      </c>
      <c r="M16" s="48"/>
      <c r="N16" s="4" t="s">
        <v>10</v>
      </c>
      <c r="O16" s="4">
        <v>0.81433129999999998</v>
      </c>
      <c r="P16" s="4">
        <v>4.4390029999999997E-2</v>
      </c>
      <c r="Q16" s="4">
        <v>5.4712829999999997E-2</v>
      </c>
      <c r="S16" s="44"/>
      <c r="T16" s="20" t="s">
        <v>10</v>
      </c>
      <c r="U16" s="20">
        <v>0.67273159999999999</v>
      </c>
      <c r="V16" s="20">
        <v>6.1875350000000003E-2</v>
      </c>
      <c r="W16" s="20">
        <v>7.2639339999999997E-2</v>
      </c>
      <c r="Z16" s="9"/>
    </row>
    <row r="17" spans="1:26" x14ac:dyDescent="0.3">
      <c r="A17" s="43">
        <v>8</v>
      </c>
      <c r="B17" s="22" t="s">
        <v>7</v>
      </c>
      <c r="C17" s="23">
        <v>0.83862990000000004</v>
      </c>
      <c r="D17" s="23">
        <v>3.958917E-2</v>
      </c>
      <c r="E17" s="23">
        <v>5.1007179999999999E-2</v>
      </c>
      <c r="F17" s="23"/>
      <c r="G17" s="54"/>
      <c r="H17" s="36" t="s">
        <v>7</v>
      </c>
      <c r="I17" s="23">
        <v>0.83862990000000004</v>
      </c>
      <c r="J17" s="23">
        <v>3.958917E-2</v>
      </c>
      <c r="K17" s="23">
        <v>5.1007179999999999E-2</v>
      </c>
      <c r="L17" s="23"/>
      <c r="M17" s="49" t="s">
        <v>18</v>
      </c>
      <c r="N17" s="36" t="s">
        <v>7</v>
      </c>
      <c r="O17" s="23">
        <v>0.83862990000000004</v>
      </c>
      <c r="P17" s="23">
        <v>3.958917E-2</v>
      </c>
      <c r="Q17" s="23">
        <v>5.1007179999999999E-2</v>
      </c>
      <c r="R17" s="23"/>
      <c r="S17" s="46"/>
      <c r="T17" s="24" t="s">
        <v>7</v>
      </c>
      <c r="U17" s="25">
        <v>0.81579279999999998</v>
      </c>
      <c r="V17" s="25">
        <v>4.4486730000000002E-2</v>
      </c>
      <c r="W17" s="23">
        <v>5.449706E-2</v>
      </c>
      <c r="Z17" s="9"/>
    </row>
    <row r="18" spans="1:26" x14ac:dyDescent="0.3">
      <c r="A18" s="44"/>
      <c r="B18" s="4" t="s">
        <v>8</v>
      </c>
      <c r="C18">
        <v>0.89132420000000001</v>
      </c>
      <c r="D18">
        <v>3.1943439999999997E-2</v>
      </c>
      <c r="E18">
        <v>4.185875E-2</v>
      </c>
      <c r="G18" s="46"/>
      <c r="H18" s="14" t="s">
        <v>8</v>
      </c>
      <c r="I18">
        <v>0.89450499999999999</v>
      </c>
      <c r="J18">
        <v>3.1854540000000001E-2</v>
      </c>
      <c r="K18">
        <v>4.0330009999999999E-2</v>
      </c>
      <c r="M18" s="50"/>
      <c r="N18" s="14" t="s">
        <v>8</v>
      </c>
      <c r="O18">
        <v>0.89911719999999995</v>
      </c>
      <c r="P18">
        <v>3.176168E-2</v>
      </c>
      <c r="Q18">
        <v>4.0330009999999999E-2</v>
      </c>
      <c r="S18" s="46"/>
      <c r="T18" s="26" t="s">
        <v>8</v>
      </c>
      <c r="U18" s="6">
        <v>0.86070460000000004</v>
      </c>
      <c r="V18" s="6">
        <v>3.6573090000000003E-2</v>
      </c>
      <c r="W18" s="6">
        <v>4.7390160000000001E-2</v>
      </c>
      <c r="Z18" s="9"/>
    </row>
    <row r="19" spans="1:26" x14ac:dyDescent="0.3">
      <c r="A19" s="44"/>
      <c r="B19" s="4" t="s">
        <v>9</v>
      </c>
      <c r="C19">
        <v>0.83631509999999998</v>
      </c>
      <c r="D19">
        <v>3.9336389999999999E-2</v>
      </c>
      <c r="E19">
        <v>5.1371720000000003E-2</v>
      </c>
      <c r="G19" s="46"/>
      <c r="H19" s="11" t="s">
        <v>9</v>
      </c>
      <c r="I19">
        <v>0.85528599999999999</v>
      </c>
      <c r="J19">
        <v>3.7704849999999998E-2</v>
      </c>
      <c r="K19">
        <v>4.5984070000000002E-2</v>
      </c>
      <c r="M19" s="50"/>
      <c r="N19" s="11" t="s">
        <v>9</v>
      </c>
      <c r="O19">
        <v>0.86884790000000001</v>
      </c>
      <c r="P19">
        <v>3.530871E-2</v>
      </c>
      <c r="Q19">
        <v>4.5984070000000002E-2</v>
      </c>
      <c r="S19" s="46"/>
      <c r="T19" s="27" t="s">
        <v>9</v>
      </c>
      <c r="U19" s="6">
        <v>0.79483349999999997</v>
      </c>
      <c r="V19" s="6">
        <v>4.4148340000000001E-2</v>
      </c>
      <c r="W19" s="6">
        <v>5.7513929999999998E-2</v>
      </c>
      <c r="Z19" s="10"/>
    </row>
    <row r="20" spans="1:26" x14ac:dyDescent="0.3">
      <c r="A20" s="45"/>
      <c r="B20" s="20" t="s">
        <v>10</v>
      </c>
      <c r="C20" s="32">
        <v>0.80594120000000002</v>
      </c>
      <c r="D20" s="32">
        <v>4.5240870000000002E-2</v>
      </c>
      <c r="E20" s="32">
        <v>5.5935360000000003E-2</v>
      </c>
      <c r="F20" s="32"/>
      <c r="G20" s="53"/>
      <c r="H20" s="33" t="s">
        <v>10</v>
      </c>
      <c r="I20" s="32">
        <v>0.80846399999999996</v>
      </c>
      <c r="J20" s="32">
        <v>4.4896980000000003E-2</v>
      </c>
      <c r="K20" s="32">
        <v>5.4795299999999998E-2</v>
      </c>
      <c r="L20" s="32"/>
      <c r="M20" s="51"/>
      <c r="N20" s="33" t="s">
        <v>10</v>
      </c>
      <c r="O20" s="32">
        <v>0.81377120000000003</v>
      </c>
      <c r="P20" s="32">
        <v>4.4157799999999997E-2</v>
      </c>
      <c r="Q20" s="32">
        <v>5.4795299999999998E-2</v>
      </c>
      <c r="R20" s="32"/>
      <c r="S20" s="46"/>
      <c r="T20" s="28" t="s">
        <v>10</v>
      </c>
      <c r="U20" s="29">
        <v>0.79714719999999994</v>
      </c>
      <c r="V20" s="29">
        <v>4.6100000000000002E-2</v>
      </c>
      <c r="W20" s="29">
        <v>5.7188709999999997E-2</v>
      </c>
      <c r="Z20" s="9"/>
    </row>
    <row r="21" spans="1:26" x14ac:dyDescent="0.3">
      <c r="A21" s="43" t="s">
        <v>15</v>
      </c>
      <c r="B21" s="22" t="s">
        <v>7</v>
      </c>
      <c r="C21" s="22">
        <v>0.83862990000000004</v>
      </c>
      <c r="D21" s="22">
        <v>3.958917E-2</v>
      </c>
      <c r="E21" s="22">
        <v>5.1007179999999999E-2</v>
      </c>
      <c r="F21" s="23"/>
      <c r="G21" s="54"/>
      <c r="H21" s="36" t="s">
        <v>7</v>
      </c>
      <c r="I21" s="37">
        <v>0.83862990000000004</v>
      </c>
      <c r="J21" s="37">
        <v>3.958917E-2</v>
      </c>
      <c r="K21" s="38">
        <v>5.1007179999999999E-2</v>
      </c>
      <c r="L21" s="23"/>
      <c r="M21" s="47" t="s">
        <v>15</v>
      </c>
      <c r="N21" s="22" t="s">
        <v>7</v>
      </c>
      <c r="O21" s="22">
        <v>0.83862990000000004</v>
      </c>
      <c r="P21" s="22">
        <v>3.958917E-2</v>
      </c>
      <c r="Q21" s="22">
        <v>5.1007179999999999E-2</v>
      </c>
      <c r="R21" s="23"/>
      <c r="S21" s="44"/>
      <c r="T21" s="22" t="s">
        <v>7</v>
      </c>
      <c r="U21" s="23">
        <v>0.81579279999999998</v>
      </c>
      <c r="V21" s="22">
        <v>4.4486730000000002E-2</v>
      </c>
      <c r="W21" s="22">
        <v>5.449706E-2</v>
      </c>
    </row>
    <row r="22" spans="1:26" x14ac:dyDescent="0.3">
      <c r="A22" s="44"/>
      <c r="B22" s="4" t="s">
        <v>8</v>
      </c>
      <c r="C22" s="4">
        <v>0.88781529999999997</v>
      </c>
      <c r="D22" s="4">
        <v>3.273276E-2</v>
      </c>
      <c r="E22" s="4">
        <v>4.2529150000000002E-2</v>
      </c>
      <c r="G22" s="46"/>
      <c r="H22" s="14" t="s">
        <v>8</v>
      </c>
      <c r="I22" s="15">
        <v>0.89831919999999998</v>
      </c>
      <c r="J22" s="15">
        <v>3.1021320000000002E-2</v>
      </c>
      <c r="K22" s="16">
        <v>5.3770720000000001E-2</v>
      </c>
      <c r="M22" s="48"/>
      <c r="N22" s="4" t="s">
        <v>8</v>
      </c>
      <c r="O22" s="4">
        <v>0.89962319999999996</v>
      </c>
      <c r="P22" s="4">
        <v>3.1016579999999998E-2</v>
      </c>
      <c r="Q22" s="4">
        <v>4.0228739999999999E-2</v>
      </c>
      <c r="S22" s="44"/>
      <c r="T22" s="4" t="s">
        <v>8</v>
      </c>
      <c r="U22" s="4">
        <v>0.86756319999999998</v>
      </c>
      <c r="V22" s="4">
        <v>3.5425890000000002E-2</v>
      </c>
      <c r="W22" s="4">
        <v>4.620875E-2</v>
      </c>
    </row>
    <row r="23" spans="1:26" x14ac:dyDescent="0.3">
      <c r="A23" s="44"/>
      <c r="B23" s="4" t="s">
        <v>9</v>
      </c>
      <c r="C23" s="4">
        <v>0.82875639999999995</v>
      </c>
      <c r="D23" s="4">
        <v>3.9923889999999997E-2</v>
      </c>
      <c r="E23" s="4">
        <v>5.2544460000000001E-2</v>
      </c>
      <c r="G23" s="46"/>
      <c r="H23" s="11" t="s">
        <v>9</v>
      </c>
      <c r="I23" s="12">
        <v>0.85210459999999999</v>
      </c>
      <c r="J23" s="12">
        <v>3.8160079999999999E-2</v>
      </c>
      <c r="K23" s="13">
        <v>5.1714049999999998E-2</v>
      </c>
      <c r="M23" s="48"/>
      <c r="N23" s="4" t="s">
        <v>9</v>
      </c>
      <c r="O23" s="4">
        <v>0.87042269999999999</v>
      </c>
      <c r="P23" s="4">
        <v>3.5210379999999999E-2</v>
      </c>
      <c r="Q23" s="4">
        <v>4.5707169999999998E-2</v>
      </c>
      <c r="S23" s="44"/>
      <c r="T23" s="4" t="s">
        <v>9</v>
      </c>
      <c r="U23" s="4">
        <v>0.80086990000000002</v>
      </c>
      <c r="V23" s="4">
        <v>4.3561200000000001E-2</v>
      </c>
      <c r="W23" s="4">
        <v>5.6661530000000002E-2</v>
      </c>
    </row>
    <row r="24" spans="1:26" x14ac:dyDescent="0.3">
      <c r="A24" s="45"/>
      <c r="B24" s="20" t="s">
        <v>10</v>
      </c>
      <c r="C24" s="20">
        <v>0.8055061</v>
      </c>
      <c r="D24" s="20">
        <v>4.5472209999999999E-2</v>
      </c>
      <c r="E24" s="20">
        <v>5.5998039999999999E-2</v>
      </c>
      <c r="F24" s="32"/>
      <c r="G24" s="53"/>
      <c r="H24" s="33" t="s">
        <v>10</v>
      </c>
      <c r="I24" s="34">
        <v>0.81282770000000004</v>
      </c>
      <c r="J24" s="34">
        <v>4.4586189999999998E-2</v>
      </c>
      <c r="K24" s="35">
        <v>5.6161259999999998E-2</v>
      </c>
      <c r="L24" s="32"/>
      <c r="M24" s="52"/>
      <c r="N24" s="20" t="s">
        <v>10</v>
      </c>
      <c r="O24" s="20">
        <v>0.81442729999999997</v>
      </c>
      <c r="P24" s="21">
        <v>4.4313400000000003E-2</v>
      </c>
      <c r="Q24" s="32">
        <v>5.469868E-2</v>
      </c>
      <c r="R24" s="32"/>
      <c r="S24" s="44"/>
      <c r="T24" s="20" t="s">
        <v>10</v>
      </c>
      <c r="U24" s="21">
        <v>0.79991080000000003</v>
      </c>
      <c r="V24" s="21">
        <v>4.5570909999999999E-2</v>
      </c>
      <c r="W24" s="20">
        <v>5.6797819999999999E-2</v>
      </c>
    </row>
    <row r="25" spans="1:26" x14ac:dyDescent="0.3">
      <c r="A25" s="7" t="s">
        <v>16</v>
      </c>
      <c r="B25" s="4" t="s">
        <v>7</v>
      </c>
      <c r="C25" s="4">
        <v>0.83862990000000004</v>
      </c>
      <c r="D25" s="5">
        <v>3.958917E-2</v>
      </c>
      <c r="E25" s="5">
        <v>5.1007179999999999E-2</v>
      </c>
      <c r="G25" s="46"/>
      <c r="H25" s="39" t="s">
        <v>7</v>
      </c>
      <c r="I25" s="40">
        <v>0.83862990000000004</v>
      </c>
      <c r="J25" s="40">
        <v>3.958917E-2</v>
      </c>
      <c r="K25" s="41">
        <v>5.1007179999999999E-2</v>
      </c>
      <c r="M25" s="48" t="s">
        <v>19</v>
      </c>
      <c r="N25" s="4" t="s">
        <v>7</v>
      </c>
      <c r="O25" s="4">
        <v>0.83862990000000004</v>
      </c>
      <c r="P25" s="4">
        <v>3.958917E-2</v>
      </c>
      <c r="Q25" s="4">
        <v>5.1007179999999999E-2</v>
      </c>
      <c r="S25" s="44"/>
      <c r="T25" s="22" t="s">
        <v>7</v>
      </c>
      <c r="U25" s="25">
        <v>0.83862990000000004</v>
      </c>
      <c r="V25" s="25">
        <v>3.958917E-2</v>
      </c>
      <c r="W25" s="23">
        <v>5.1007179999999999E-2</v>
      </c>
    </row>
    <row r="26" spans="1:26" x14ac:dyDescent="0.3">
      <c r="A26" s="7"/>
      <c r="B26" s="4" t="s">
        <v>8</v>
      </c>
      <c r="C26" s="4">
        <v>0.88979439999999999</v>
      </c>
      <c r="D26" s="4">
        <v>3.2523330000000003E-2</v>
      </c>
      <c r="E26" s="5">
        <v>4.2152340000000003E-2</v>
      </c>
      <c r="G26" s="46"/>
      <c r="H26" s="14" t="s">
        <v>8</v>
      </c>
      <c r="I26" s="15">
        <v>0.8982078</v>
      </c>
      <c r="J26" s="15">
        <v>3.1454929999999999E-2</v>
      </c>
      <c r="K26" s="16">
        <v>4.3455870000000001E-2</v>
      </c>
      <c r="M26" s="48"/>
      <c r="N26" s="4" t="s">
        <v>8</v>
      </c>
      <c r="O26" s="4">
        <v>0.90014839999999996</v>
      </c>
      <c r="P26" s="4">
        <v>3.097975E-2</v>
      </c>
      <c r="Q26" s="4">
        <v>4.0123369999999998E-2</v>
      </c>
      <c r="S26" s="44"/>
      <c r="T26" s="4" t="s">
        <v>8</v>
      </c>
      <c r="U26" s="6">
        <v>0.89715959999999995</v>
      </c>
      <c r="V26" s="6">
        <v>3.1795879999999999E-2</v>
      </c>
      <c r="W26" s="6">
        <v>4.0719430000000001E-2</v>
      </c>
    </row>
    <row r="27" spans="1:26" x14ac:dyDescent="0.3">
      <c r="A27" s="7"/>
      <c r="B27" s="4" t="s">
        <v>9</v>
      </c>
      <c r="C27" s="4">
        <v>0.84029719999999997</v>
      </c>
      <c r="D27" s="4">
        <v>3.8702350000000003E-2</v>
      </c>
      <c r="E27" s="4">
        <v>5.0743000000000003E-2</v>
      </c>
      <c r="G27" s="46"/>
      <c r="H27" s="11" t="s">
        <v>9</v>
      </c>
      <c r="I27" s="12">
        <v>0.85462009999999999</v>
      </c>
      <c r="J27" s="12">
        <v>3.8040440000000002E-2</v>
      </c>
      <c r="K27" s="13">
        <v>5.2243409999999997E-2</v>
      </c>
      <c r="M27" s="48"/>
      <c r="N27" s="4" t="s">
        <v>9</v>
      </c>
      <c r="O27" s="4">
        <v>0.87052189999999996</v>
      </c>
      <c r="P27" s="4">
        <v>3.5508600000000001E-2</v>
      </c>
      <c r="Q27" s="4">
        <v>4.5689670000000002E-2</v>
      </c>
      <c r="S27" s="44"/>
      <c r="T27" s="4" t="s">
        <v>9</v>
      </c>
      <c r="U27" s="6">
        <v>0.86446080000000003</v>
      </c>
      <c r="V27" s="6">
        <v>3.6025630000000003E-2</v>
      </c>
      <c r="W27" s="6">
        <v>4.6746839999999998E-2</v>
      </c>
    </row>
    <row r="28" spans="1:26" x14ac:dyDescent="0.3">
      <c r="A28" s="31"/>
      <c r="B28" s="20" t="s">
        <v>10</v>
      </c>
      <c r="C28" s="20">
        <v>0.80779840000000003</v>
      </c>
      <c r="D28" s="20">
        <v>4.5347690000000003E-2</v>
      </c>
      <c r="E28" s="20">
        <v>5.5667059999999997E-2</v>
      </c>
      <c r="F28" s="32"/>
      <c r="G28" s="53"/>
      <c r="H28" s="33" t="s">
        <v>10</v>
      </c>
      <c r="I28" s="34">
        <v>0.80988320000000003</v>
      </c>
      <c r="J28" s="34">
        <v>4.536163E-2</v>
      </c>
      <c r="K28" s="35">
        <v>5.5805760000000003E-2</v>
      </c>
      <c r="L28" s="32"/>
      <c r="M28" s="52"/>
      <c r="N28" s="20" t="s">
        <v>10</v>
      </c>
      <c r="O28" s="20">
        <v>0.81266720000000003</v>
      </c>
      <c r="P28" s="21">
        <v>4.4828100000000003E-2</v>
      </c>
      <c r="Q28" s="20">
        <v>5.4957470000000001E-2</v>
      </c>
      <c r="R28" s="32"/>
      <c r="S28" s="44"/>
      <c r="T28" s="20" t="s">
        <v>10</v>
      </c>
      <c r="U28" s="29">
        <v>0.81154159999999997</v>
      </c>
      <c r="V28" s="29">
        <v>4.4842140000000003E-2</v>
      </c>
      <c r="W28" s="29">
        <v>5.5122329999999997E-2</v>
      </c>
    </row>
    <row r="30" spans="1:26" x14ac:dyDescent="0.3">
      <c r="A30" s="9"/>
      <c r="H30" s="8"/>
      <c r="N30" s="9"/>
    </row>
    <row r="31" spans="1:26" x14ac:dyDescent="0.3">
      <c r="A31" s="9"/>
      <c r="B31" s="36" t="s">
        <v>7</v>
      </c>
      <c r="C31" s="37">
        <v>0.83862990000000004</v>
      </c>
      <c r="D31" s="60">
        <v>3.958917E-2</v>
      </c>
      <c r="E31" s="38">
        <v>5.1007179999999999E-2</v>
      </c>
      <c r="H31" s="36" t="s">
        <v>7</v>
      </c>
      <c r="I31" s="37">
        <v>0.83862990000000004</v>
      </c>
      <c r="J31" s="37">
        <v>3.958917E-2</v>
      </c>
      <c r="K31" s="38">
        <v>5.1007179999999999E-2</v>
      </c>
      <c r="N31" s="36" t="s">
        <v>7</v>
      </c>
      <c r="O31" s="37">
        <v>0.81579279999999998</v>
      </c>
      <c r="P31" s="37">
        <v>4.4486730000000002E-2</v>
      </c>
      <c r="Q31" s="38">
        <v>5.449706E-2</v>
      </c>
    </row>
    <row r="32" spans="1:26" x14ac:dyDescent="0.3">
      <c r="A32" s="9"/>
      <c r="B32" s="36" t="s">
        <v>7</v>
      </c>
      <c r="C32" s="59">
        <v>0.83862990000000004</v>
      </c>
      <c r="D32" s="59">
        <v>3.958917E-2</v>
      </c>
      <c r="E32" s="61">
        <v>5.1007179999999999E-2</v>
      </c>
      <c r="H32" s="36" t="s">
        <v>7</v>
      </c>
      <c r="I32" s="59">
        <v>0.83862990000000004</v>
      </c>
      <c r="J32" s="59">
        <v>3.958917E-2</v>
      </c>
      <c r="K32" s="61">
        <v>5.1007179999999999E-2</v>
      </c>
      <c r="N32" s="36" t="s">
        <v>7</v>
      </c>
      <c r="O32" s="59">
        <v>0.83862990000000004</v>
      </c>
      <c r="P32" s="59">
        <v>3.958917E-2</v>
      </c>
      <c r="Q32" s="61">
        <v>5.1007179999999999E-2</v>
      </c>
    </row>
    <row r="33" spans="1:17" x14ac:dyDescent="0.3">
      <c r="A33" s="10"/>
      <c r="B33" s="36" t="s">
        <v>7</v>
      </c>
      <c r="C33" s="59">
        <v>0.83862990000000004</v>
      </c>
      <c r="D33" s="59">
        <v>3.958917E-2</v>
      </c>
      <c r="E33" s="61">
        <v>5.1007179999999999E-2</v>
      </c>
      <c r="H33" s="11" t="s">
        <v>7</v>
      </c>
      <c r="I33" s="12">
        <v>0.83862990000000004</v>
      </c>
      <c r="J33" s="12">
        <v>3.958917E-2</v>
      </c>
      <c r="K33" s="13">
        <v>5.1007179999999999E-2</v>
      </c>
      <c r="N33" s="11" t="s">
        <v>7</v>
      </c>
      <c r="O33" s="12">
        <v>0.83862990000000004</v>
      </c>
      <c r="P33" s="12">
        <v>3.958917E-2</v>
      </c>
      <c r="Q33" s="63">
        <v>5.1007179999999999E-2</v>
      </c>
    </row>
    <row r="34" spans="1:17" x14ac:dyDescent="0.3">
      <c r="B34" s="36" t="s">
        <v>7</v>
      </c>
      <c r="C34" s="37">
        <v>0.83862990000000004</v>
      </c>
      <c r="D34" s="37">
        <v>3.958917E-2</v>
      </c>
      <c r="E34" s="38">
        <v>5.1007179999999999E-2</v>
      </c>
      <c r="H34" s="36" t="s">
        <v>7</v>
      </c>
      <c r="I34" s="59">
        <v>0.83862990000000004</v>
      </c>
      <c r="J34" s="59">
        <v>3.958917E-2</v>
      </c>
      <c r="K34" s="61">
        <v>5.1007179999999999E-2</v>
      </c>
      <c r="N34" s="36" t="s">
        <v>7</v>
      </c>
      <c r="O34" s="59">
        <v>0.83862990000000004</v>
      </c>
      <c r="P34" s="59">
        <v>3.958917E-2</v>
      </c>
      <c r="Q34" s="61">
        <v>5.1007179999999999E-2</v>
      </c>
    </row>
    <row r="35" spans="1:17" x14ac:dyDescent="0.3">
      <c r="B35" s="11" t="s">
        <v>7</v>
      </c>
      <c r="C35" s="12">
        <v>0.83862990000000004</v>
      </c>
      <c r="D35" s="62">
        <v>3.958917E-2</v>
      </c>
      <c r="E35" s="63">
        <v>5.1007179999999999E-2</v>
      </c>
      <c r="H35" s="36" t="s">
        <v>7</v>
      </c>
      <c r="I35" s="37">
        <v>0.83862990000000004</v>
      </c>
      <c r="J35" s="37">
        <v>3.958917E-2</v>
      </c>
      <c r="K35" s="38">
        <v>5.1007179999999999E-2</v>
      </c>
      <c r="N35" s="36" t="s">
        <v>7</v>
      </c>
      <c r="O35" s="37">
        <v>0.83862990000000004</v>
      </c>
      <c r="P35" s="37">
        <v>3.958917E-2</v>
      </c>
      <c r="Q35" s="38">
        <v>5.1007179999999999E-2</v>
      </c>
    </row>
    <row r="36" spans="1:17" x14ac:dyDescent="0.3">
      <c r="B36" s="65" t="s">
        <v>7</v>
      </c>
      <c r="C36" s="66">
        <v>0.83862990000000004</v>
      </c>
      <c r="D36" s="67">
        <v>3.958917E-2</v>
      </c>
      <c r="E36" s="68">
        <v>5.1007179999999999E-2</v>
      </c>
      <c r="H36" s="11" t="s">
        <v>7</v>
      </c>
      <c r="I36" s="12">
        <v>0.83862990000000004</v>
      </c>
      <c r="J36" s="12">
        <v>3.958917E-2</v>
      </c>
      <c r="K36" s="13">
        <v>5.1007179999999999E-2</v>
      </c>
      <c r="N36" s="11" t="s">
        <v>7</v>
      </c>
      <c r="O36" s="12">
        <v>0.83862990000000004</v>
      </c>
      <c r="P36" s="12">
        <v>3.958917E-2</v>
      </c>
      <c r="Q36" s="13">
        <v>5.1007179999999999E-2</v>
      </c>
    </row>
    <row r="37" spans="1:17" x14ac:dyDescent="0.3">
      <c r="B37" s="9"/>
      <c r="C37">
        <f>AVERAGE(C31:C36)</f>
        <v>0.83862990000000004</v>
      </c>
      <c r="D37">
        <f>AVERAGE(D31:D36)</f>
        <v>3.958917E-2</v>
      </c>
      <c r="E37">
        <f>AVERAGE(E31:E36)</f>
        <v>5.1007179999999992E-2</v>
      </c>
      <c r="H37" s="9"/>
      <c r="I37">
        <f>AVERAGE(I31:I36)</f>
        <v>0.83862990000000004</v>
      </c>
      <c r="J37">
        <f>AVERAGE(J31:J36)</f>
        <v>3.958917E-2</v>
      </c>
      <c r="K37">
        <f>AVERAGE(K31:K36)</f>
        <v>5.1007179999999992E-2</v>
      </c>
      <c r="N37" s="9"/>
      <c r="O37">
        <f>AVERAGE(O31:O36)</f>
        <v>0.83482371666666666</v>
      </c>
      <c r="P37">
        <f>AVERAGE(P31:P36)</f>
        <v>4.0405430000000006E-2</v>
      </c>
      <c r="Q37">
        <f>AVERAGE(Q31:Q36)</f>
        <v>5.1588826666666664E-2</v>
      </c>
    </row>
    <row r="38" spans="1:17" x14ac:dyDescent="0.3">
      <c r="B38" s="9"/>
      <c r="H38" s="9"/>
      <c r="N38" s="9"/>
    </row>
    <row r="39" spans="1:17" x14ac:dyDescent="0.3">
      <c r="B39" s="14" t="s">
        <v>8</v>
      </c>
      <c r="C39" s="15">
        <v>0.82067040000000002</v>
      </c>
      <c r="D39" s="15">
        <v>4.4041450000000003E-2</v>
      </c>
      <c r="E39" s="64">
        <v>5.3770720000000001E-2</v>
      </c>
      <c r="H39" s="14" t="s">
        <v>8</v>
      </c>
      <c r="I39" s="15">
        <v>0.82222430000000002</v>
      </c>
      <c r="J39" s="15">
        <v>4.3391979999999997E-2</v>
      </c>
      <c r="K39" s="16">
        <v>5.353724E-2</v>
      </c>
      <c r="N39" s="14" t="s">
        <v>8</v>
      </c>
      <c r="O39" s="15">
        <v>0.90014839999999996</v>
      </c>
      <c r="P39" s="15">
        <v>3.097975E-2</v>
      </c>
      <c r="Q39" s="16">
        <v>4.0123369999999998E-2</v>
      </c>
    </row>
    <row r="40" spans="1:17" x14ac:dyDescent="0.3">
      <c r="B40" s="14" t="s">
        <v>8</v>
      </c>
      <c r="C40" s="55">
        <v>0.88180270000000005</v>
      </c>
      <c r="D40" s="55">
        <v>3.3912379999999999E-2</v>
      </c>
      <c r="E40" s="56">
        <v>4.3653949999999997E-2</v>
      </c>
      <c r="H40" s="14" t="s">
        <v>8</v>
      </c>
      <c r="I40" s="55">
        <v>0.88261690000000004</v>
      </c>
      <c r="J40" s="55">
        <v>3.3221870000000001E-2</v>
      </c>
      <c r="K40" s="56">
        <v>4.0330009999999999E-2</v>
      </c>
      <c r="N40" s="72" t="s">
        <v>8</v>
      </c>
      <c r="O40" s="73">
        <v>0.89962319999999996</v>
      </c>
      <c r="P40" s="73">
        <v>3.1016579999999998E-2</v>
      </c>
      <c r="Q40" s="74">
        <v>4.0228739999999999E-2</v>
      </c>
    </row>
    <row r="41" spans="1:17" x14ac:dyDescent="0.3">
      <c r="B41" s="14" t="s">
        <v>8</v>
      </c>
      <c r="C41" s="15">
        <v>0.89959599999999995</v>
      </c>
      <c r="D41" s="15">
        <v>3.1721680000000002E-2</v>
      </c>
      <c r="E41" s="16">
        <v>4.0234199999999998E-2</v>
      </c>
      <c r="H41" s="14" t="s">
        <v>8</v>
      </c>
      <c r="I41" s="15">
        <v>0.87989600000000001</v>
      </c>
      <c r="J41" s="15">
        <v>3.3504340000000001E-2</v>
      </c>
      <c r="K41" s="16">
        <v>4.1154509999999998E-2</v>
      </c>
      <c r="N41" s="72" t="s">
        <v>8</v>
      </c>
      <c r="O41" s="75">
        <v>0.89911719999999995</v>
      </c>
      <c r="P41" s="75">
        <v>3.176168E-2</v>
      </c>
      <c r="Q41" s="76">
        <v>4.0330009999999999E-2</v>
      </c>
    </row>
    <row r="42" spans="1:17" x14ac:dyDescent="0.3">
      <c r="B42" s="14" t="s">
        <v>8</v>
      </c>
      <c r="C42" s="55">
        <v>0.89132420000000001</v>
      </c>
      <c r="D42" s="55">
        <v>3.1943439999999997E-2</v>
      </c>
      <c r="E42" s="56">
        <v>4.185875E-2</v>
      </c>
      <c r="H42" s="14" t="s">
        <v>8</v>
      </c>
      <c r="I42" s="55">
        <v>0.89450499999999999</v>
      </c>
      <c r="J42" s="55">
        <v>3.1854540000000001E-2</v>
      </c>
      <c r="K42" s="56">
        <v>4.0330009999999999E-2</v>
      </c>
      <c r="N42" s="72" t="s">
        <v>8</v>
      </c>
      <c r="O42" s="73">
        <v>0.89495020000000003</v>
      </c>
      <c r="P42" s="73">
        <v>3.2232629999999998E-2</v>
      </c>
      <c r="Q42" s="74">
        <v>4.1154509999999998E-2</v>
      </c>
    </row>
    <row r="43" spans="1:17" x14ac:dyDescent="0.3">
      <c r="B43" s="14" t="s">
        <v>8</v>
      </c>
      <c r="C43" s="15">
        <v>0.88781529999999997</v>
      </c>
      <c r="D43" s="15">
        <v>3.273276E-2</v>
      </c>
      <c r="E43" s="16">
        <v>4.2529150000000002E-2</v>
      </c>
      <c r="H43" s="14" t="s">
        <v>8</v>
      </c>
      <c r="I43" s="15">
        <v>0.89831919999999998</v>
      </c>
      <c r="J43" s="15">
        <v>3.1021320000000002E-2</v>
      </c>
      <c r="K43" s="16">
        <v>5.3770720000000001E-2</v>
      </c>
      <c r="N43" s="14" t="s">
        <v>8</v>
      </c>
      <c r="O43" s="55">
        <v>0.880324</v>
      </c>
      <c r="P43" s="55">
        <v>3.3779120000000003E-2</v>
      </c>
      <c r="Q43" s="56">
        <v>4.3926180000000002E-2</v>
      </c>
    </row>
    <row r="44" spans="1:17" x14ac:dyDescent="0.3">
      <c r="B44" s="14" t="s">
        <v>8</v>
      </c>
      <c r="C44" s="15">
        <v>0.88979439999999999</v>
      </c>
      <c r="D44" s="15">
        <v>3.2523330000000003E-2</v>
      </c>
      <c r="E44" s="64">
        <v>4.2152340000000003E-2</v>
      </c>
      <c r="H44" s="14" t="s">
        <v>8</v>
      </c>
      <c r="I44" s="15">
        <v>0.8982078</v>
      </c>
      <c r="J44" s="15">
        <v>3.1454929999999999E-2</v>
      </c>
      <c r="K44" s="16">
        <v>4.3455870000000001E-2</v>
      </c>
      <c r="N44" s="72" t="s">
        <v>8</v>
      </c>
      <c r="O44" s="73">
        <v>0.84630499999999997</v>
      </c>
      <c r="P44" s="77">
        <v>4.0549309999999998E-2</v>
      </c>
      <c r="Q44" s="74">
        <v>4.9779410000000003E-2</v>
      </c>
    </row>
    <row r="45" spans="1:17" x14ac:dyDescent="0.3">
      <c r="C45">
        <f>AVERAGE(C39:C44)</f>
        <v>0.87850050000000002</v>
      </c>
      <c r="D45">
        <f>AVERAGE(D39:D44)</f>
        <v>3.4479173333333335E-2</v>
      </c>
      <c r="E45" s="4">
        <f>AVERAGE(E39:E44)</f>
        <v>4.4033185000000002E-2</v>
      </c>
      <c r="I45">
        <f>AVERAGE(I39:I44)</f>
        <v>0.87929486666666667</v>
      </c>
      <c r="J45">
        <f>AVERAGE(J39:J44)</f>
        <v>3.4074829999999993E-2</v>
      </c>
      <c r="K45">
        <f>AVERAGE(K39:K44)</f>
        <v>4.5429726666666663E-2</v>
      </c>
      <c r="O45">
        <f>AVERAGE(O39:O44)</f>
        <v>0.88674466666666663</v>
      </c>
      <c r="P45">
        <f>AVERAGE(P39:P44)</f>
        <v>3.3386511666666667E-2</v>
      </c>
      <c r="Q45">
        <f>AVERAGE(Q39:Q44)</f>
        <v>4.2590370000000009E-2</v>
      </c>
    </row>
    <row r="48" spans="1:17" x14ac:dyDescent="0.3">
      <c r="B48" s="11" t="s">
        <v>9</v>
      </c>
      <c r="C48" s="12">
        <v>0.83412629999999999</v>
      </c>
      <c r="D48" s="12">
        <v>3.9827399999999999E-2</v>
      </c>
      <c r="E48" s="13">
        <v>5.1714049999999998E-2</v>
      </c>
      <c r="H48" s="11" t="s">
        <v>9</v>
      </c>
      <c r="I48" s="12">
        <v>5.4632739999999999E-2</v>
      </c>
      <c r="J48" s="12">
        <v>4.1489230000000002E-2</v>
      </c>
      <c r="K48" s="13">
        <v>5.4632739999999999E-2</v>
      </c>
    </row>
    <row r="49" spans="2:11" x14ac:dyDescent="0.3">
      <c r="B49" s="11" t="s">
        <v>9</v>
      </c>
      <c r="C49" s="57">
        <v>0.84484619999999999</v>
      </c>
      <c r="D49" s="57">
        <v>3.7887619999999997E-2</v>
      </c>
      <c r="E49" s="58">
        <v>5.0015089999999998E-2</v>
      </c>
      <c r="H49" s="11" t="s">
        <v>9</v>
      </c>
      <c r="I49" s="57">
        <v>0.83071309999999998</v>
      </c>
      <c r="J49" s="57">
        <v>3.9459609999999999E-2</v>
      </c>
      <c r="K49" s="58">
        <v>4.5984070000000002E-2</v>
      </c>
    </row>
    <row r="50" spans="2:11" x14ac:dyDescent="0.3">
      <c r="B50" s="11" t="s">
        <v>9</v>
      </c>
      <c r="C50" s="12">
        <v>0.86021789999999998</v>
      </c>
      <c r="D50" s="12">
        <v>3.619004E-2</v>
      </c>
      <c r="E50" s="13">
        <v>4.7472880000000002E-2</v>
      </c>
      <c r="H50" s="11" t="s">
        <v>9</v>
      </c>
      <c r="I50" s="12">
        <v>0.83688379999999996</v>
      </c>
      <c r="J50" s="12">
        <v>3.8749659999999998E-2</v>
      </c>
      <c r="K50" s="13">
        <v>4.5301649999999999E-2</v>
      </c>
    </row>
    <row r="51" spans="2:11" x14ac:dyDescent="0.3">
      <c r="B51" s="11" t="s">
        <v>9</v>
      </c>
      <c r="C51" s="57">
        <v>0.83631509999999998</v>
      </c>
      <c r="D51" s="57">
        <v>3.9336389999999999E-2</v>
      </c>
      <c r="E51" s="58">
        <v>5.1371720000000003E-2</v>
      </c>
      <c r="H51" s="11" t="s">
        <v>9</v>
      </c>
      <c r="I51" s="57">
        <v>0.85528599999999999</v>
      </c>
      <c r="J51" s="57">
        <v>3.7704849999999998E-2</v>
      </c>
      <c r="K51" s="58">
        <v>4.5984070000000002E-2</v>
      </c>
    </row>
    <row r="52" spans="2:11" x14ac:dyDescent="0.3">
      <c r="B52" s="11" t="s">
        <v>9</v>
      </c>
      <c r="C52" s="12">
        <v>0.82875639999999995</v>
      </c>
      <c r="D52" s="12">
        <v>3.9923889999999997E-2</v>
      </c>
      <c r="E52" s="13">
        <v>5.2544460000000001E-2</v>
      </c>
      <c r="H52" s="11" t="s">
        <v>9</v>
      </c>
      <c r="I52" s="12">
        <v>0.85210459999999999</v>
      </c>
      <c r="J52" s="12">
        <v>3.8160079999999999E-2</v>
      </c>
      <c r="K52" s="13">
        <v>5.1714049999999998E-2</v>
      </c>
    </row>
    <row r="53" spans="2:11" x14ac:dyDescent="0.3">
      <c r="B53" s="11" t="s">
        <v>9</v>
      </c>
      <c r="C53" s="12">
        <v>0.84029719999999997</v>
      </c>
      <c r="D53" s="12">
        <v>3.8702350000000003E-2</v>
      </c>
      <c r="E53" s="13">
        <v>5.0743000000000003E-2</v>
      </c>
      <c r="H53" s="11" t="s">
        <v>9</v>
      </c>
      <c r="I53" s="12">
        <v>0.85462009999999999</v>
      </c>
      <c r="J53" s="12">
        <v>3.8040440000000002E-2</v>
      </c>
      <c r="K53" s="13">
        <v>5.2243409999999997E-2</v>
      </c>
    </row>
    <row r="54" spans="2:11" x14ac:dyDescent="0.3">
      <c r="C54">
        <f>AVERAGE(C48:C53)</f>
        <v>0.84075984999999998</v>
      </c>
      <c r="D54">
        <f>AVERAGE(D48:D53)</f>
        <v>3.8644615E-2</v>
      </c>
      <c r="E54">
        <f>AVERAGE(E48:E53)</f>
        <v>5.0643533333333331E-2</v>
      </c>
      <c r="I54">
        <f>AVERAGE(I48:I53)</f>
        <v>0.7140400566666667</v>
      </c>
      <c r="J54">
        <f>AVERAGE(J48:J53)</f>
        <v>3.8933978333333334E-2</v>
      </c>
      <c r="K54">
        <f>AVERAGE(K48:K53)</f>
        <v>4.9309998333333334E-2</v>
      </c>
    </row>
    <row r="57" spans="2:11" x14ac:dyDescent="0.3">
      <c r="B57" s="33" t="s">
        <v>10</v>
      </c>
      <c r="C57" s="34">
        <v>0.80779840000000003</v>
      </c>
      <c r="D57" s="34">
        <v>4.5347690000000003E-2</v>
      </c>
      <c r="E57" s="35">
        <v>5.5667059999999997E-2</v>
      </c>
      <c r="H57" s="33" t="s">
        <v>10</v>
      </c>
      <c r="I57" s="70">
        <v>0.80574279999999998</v>
      </c>
      <c r="J57" s="70">
        <v>4.5204790000000002E-2</v>
      </c>
      <c r="K57" s="71">
        <v>5.4795299999999998E-2</v>
      </c>
    </row>
    <row r="58" spans="2:11" x14ac:dyDescent="0.3">
      <c r="B58" s="14" t="s">
        <v>10</v>
      </c>
      <c r="C58" s="69">
        <v>0.80437060000000005</v>
      </c>
      <c r="D58" s="69">
        <v>4.5923060000000002E-2</v>
      </c>
      <c r="E58" s="16">
        <v>5.6161259999999998E-2</v>
      </c>
      <c r="H58" s="14" t="s">
        <v>10</v>
      </c>
      <c r="I58" s="15">
        <v>5.6603580000000001E-2</v>
      </c>
      <c r="J58" s="15">
        <v>4.6088530000000003E-2</v>
      </c>
      <c r="K58" s="64">
        <v>5.6603580000000001E-2</v>
      </c>
    </row>
    <row r="59" spans="2:11" x14ac:dyDescent="0.3">
      <c r="B59" s="33" t="s">
        <v>10</v>
      </c>
      <c r="C59" s="70">
        <v>0.80589909999999998</v>
      </c>
      <c r="D59" s="70">
        <v>4.5402949999999997E-2</v>
      </c>
      <c r="E59" s="71">
        <v>5.594143E-2</v>
      </c>
      <c r="H59" s="14" t="s">
        <v>10</v>
      </c>
      <c r="I59" s="15">
        <v>0.7991878</v>
      </c>
      <c r="J59" s="15">
        <v>4.5995979999999999E-2</v>
      </c>
      <c r="K59" s="16">
        <v>5.4712829999999997E-2</v>
      </c>
    </row>
    <row r="60" spans="2:11" x14ac:dyDescent="0.3">
      <c r="B60" s="14" t="s">
        <v>10</v>
      </c>
      <c r="C60" s="15">
        <v>0.80991040000000003</v>
      </c>
      <c r="D60" s="15">
        <v>4.4993459999999999E-2</v>
      </c>
      <c r="E60" s="16">
        <v>5.5360369999999999E-2</v>
      </c>
      <c r="H60" s="33" t="s">
        <v>10</v>
      </c>
      <c r="I60" s="70">
        <v>0.80846399999999996</v>
      </c>
      <c r="J60" s="70">
        <v>4.4896980000000003E-2</v>
      </c>
      <c r="K60" s="71">
        <v>5.4795299999999998E-2</v>
      </c>
    </row>
    <row r="61" spans="2:11" x14ac:dyDescent="0.3">
      <c r="B61" s="33" t="s">
        <v>10</v>
      </c>
      <c r="C61" s="70">
        <v>0.80594120000000002</v>
      </c>
      <c r="D61" s="70">
        <v>4.5240870000000002E-2</v>
      </c>
      <c r="E61" s="71">
        <v>5.5935360000000003E-2</v>
      </c>
      <c r="H61" s="33" t="s">
        <v>10</v>
      </c>
      <c r="I61" s="34">
        <v>0.81282770000000004</v>
      </c>
      <c r="J61" s="34">
        <v>4.4586189999999998E-2</v>
      </c>
      <c r="K61" s="35">
        <v>5.6161259999999998E-2</v>
      </c>
    </row>
    <row r="62" spans="2:11" x14ac:dyDescent="0.3">
      <c r="B62" s="33" t="s">
        <v>10</v>
      </c>
      <c r="C62" s="34">
        <v>0.8055061</v>
      </c>
      <c r="D62" s="34">
        <v>4.5472209999999999E-2</v>
      </c>
      <c r="E62" s="35">
        <v>5.5998039999999999E-2</v>
      </c>
      <c r="H62" s="33" t="s">
        <v>10</v>
      </c>
      <c r="I62" s="34">
        <v>0.80988320000000003</v>
      </c>
      <c r="J62" s="34">
        <v>4.536163E-2</v>
      </c>
      <c r="K62" s="35">
        <v>5.5805760000000003E-2</v>
      </c>
    </row>
    <row r="63" spans="2:11" ht="18" x14ac:dyDescent="0.35">
      <c r="B63" s="1"/>
      <c r="C63">
        <f>AVERAGE(C57:C62)</f>
        <v>0.80657096666666661</v>
      </c>
      <c r="D63">
        <f>AVERAGE(D57:D62)</f>
        <v>4.5396706666666668E-2</v>
      </c>
      <c r="E63">
        <f>AVERAGE(E57:E62)</f>
        <v>5.5843919999999991E-2</v>
      </c>
      <c r="I63">
        <f>AVERAGE(I57:I62)</f>
        <v>0.68211817999999991</v>
      </c>
      <c r="J63">
        <f>AVERAGE(J57:J62)</f>
        <v>4.5355683333333334E-2</v>
      </c>
      <c r="K63">
        <f>AVERAGE(K57:K62)</f>
        <v>5.5479004999999998E-2</v>
      </c>
    </row>
    <row r="65" spans="2:5" ht="18" x14ac:dyDescent="0.35">
      <c r="B65" s="2"/>
    </row>
    <row r="67" spans="2:5" x14ac:dyDescent="0.3">
      <c r="B67" s="4"/>
      <c r="C67" s="4"/>
      <c r="D67" s="4"/>
      <c r="E67" s="4"/>
    </row>
    <row r="68" spans="2:5" x14ac:dyDescent="0.3">
      <c r="B68" s="4"/>
      <c r="C68" s="4"/>
      <c r="D68" s="4"/>
      <c r="E68" s="4"/>
    </row>
    <row r="69" spans="2:5" x14ac:dyDescent="0.3">
      <c r="B69" s="4"/>
      <c r="C69" s="4"/>
      <c r="D69" s="4"/>
      <c r="E69" s="4"/>
    </row>
    <row r="70" spans="2:5" x14ac:dyDescent="0.3">
      <c r="B70" s="4"/>
      <c r="C70" s="4"/>
      <c r="D70" s="4"/>
      <c r="E70" s="4"/>
    </row>
    <row r="72" spans="2:5" ht="18" x14ac:dyDescent="0.35">
      <c r="B72" s="2"/>
    </row>
    <row r="74" spans="2:5" x14ac:dyDescent="0.3">
      <c r="B74" s="4"/>
      <c r="C74" s="4"/>
      <c r="D74" s="4"/>
      <c r="E74" s="4"/>
    </row>
    <row r="75" spans="2:5" x14ac:dyDescent="0.3">
      <c r="B75" s="4"/>
      <c r="C75" s="4"/>
      <c r="D75" s="4"/>
      <c r="E75" s="4"/>
    </row>
    <row r="76" spans="2:5" x14ac:dyDescent="0.3">
      <c r="B76" s="4"/>
      <c r="C76" s="4"/>
      <c r="D76" s="4"/>
      <c r="E76" s="4"/>
    </row>
    <row r="77" spans="2:5" x14ac:dyDescent="0.3">
      <c r="B77" s="4"/>
      <c r="C77" s="4"/>
      <c r="D77" s="4"/>
      <c r="E77" s="4"/>
    </row>
    <row r="79" spans="2:5" ht="18" x14ac:dyDescent="0.35">
      <c r="B79" s="2"/>
    </row>
    <row r="81" spans="2:5" x14ac:dyDescent="0.3">
      <c r="B81" s="4"/>
      <c r="C81" s="4"/>
      <c r="D81" s="4"/>
      <c r="E81" s="4"/>
    </row>
    <row r="82" spans="2:5" x14ac:dyDescent="0.3">
      <c r="B82" s="4"/>
      <c r="C82" s="4"/>
      <c r="D82" s="4"/>
      <c r="E82" s="4"/>
    </row>
    <row r="83" spans="2:5" x14ac:dyDescent="0.3">
      <c r="B83" s="4"/>
      <c r="C83" s="4"/>
      <c r="D83" s="4"/>
      <c r="E83" s="4"/>
    </row>
    <row r="84" spans="2:5" x14ac:dyDescent="0.3">
      <c r="B84" s="4"/>
      <c r="C84" s="4"/>
      <c r="D84" s="5"/>
    </row>
    <row r="86" spans="2:5" ht="18" x14ac:dyDescent="0.35">
      <c r="B86" s="2"/>
    </row>
    <row r="88" spans="2:5" x14ac:dyDescent="0.3">
      <c r="B88" s="4"/>
      <c r="D88" s="4"/>
      <c r="E88" s="4"/>
    </row>
    <row r="89" spans="2:5" x14ac:dyDescent="0.3">
      <c r="B89" s="4"/>
      <c r="C89" s="4"/>
      <c r="D89" s="4"/>
      <c r="E89" s="4"/>
    </row>
    <row r="90" spans="2:5" x14ac:dyDescent="0.3">
      <c r="B90" s="4"/>
      <c r="C90" s="4"/>
      <c r="D90" s="4"/>
      <c r="E90" s="4"/>
    </row>
    <row r="91" spans="2:5" x14ac:dyDescent="0.3">
      <c r="B91" s="4"/>
      <c r="C91" s="5"/>
      <c r="D91" s="5"/>
      <c r="E91" s="4"/>
    </row>
    <row r="93" spans="2:5" ht="18" x14ac:dyDescent="0.35">
      <c r="B93" s="1"/>
    </row>
    <row r="95" spans="2:5" ht="18" x14ac:dyDescent="0.35">
      <c r="B95" s="2"/>
    </row>
    <row r="97" spans="2:5" x14ac:dyDescent="0.3">
      <c r="B97" s="4"/>
      <c r="C97" s="4"/>
      <c r="D97" s="5"/>
      <c r="E97" s="5"/>
    </row>
    <row r="98" spans="2:5" x14ac:dyDescent="0.3">
      <c r="B98" s="4"/>
      <c r="C98" s="4"/>
      <c r="D98" s="4"/>
      <c r="E98" s="5"/>
    </row>
    <row r="99" spans="2:5" x14ac:dyDescent="0.3">
      <c r="B99" s="4"/>
      <c r="C99" s="4"/>
      <c r="D99" s="4"/>
      <c r="E99" s="4"/>
    </row>
    <row r="100" spans="2:5" x14ac:dyDescent="0.3">
      <c r="B100" s="4"/>
      <c r="C100" s="4"/>
      <c r="D100" s="4"/>
      <c r="E100" s="4"/>
    </row>
    <row r="102" spans="2:5" ht="18" x14ac:dyDescent="0.35">
      <c r="B102" s="2"/>
    </row>
    <row r="104" spans="2:5" x14ac:dyDescent="0.3">
      <c r="B104" s="4"/>
      <c r="C104" s="4"/>
      <c r="D104" s="4"/>
      <c r="E104" s="4"/>
    </row>
    <row r="105" spans="2:5" x14ac:dyDescent="0.3">
      <c r="B105" s="4"/>
      <c r="C105" s="4"/>
      <c r="D105" s="4"/>
      <c r="E105" s="4"/>
    </row>
    <row r="106" spans="2:5" x14ac:dyDescent="0.3">
      <c r="B106" s="4"/>
      <c r="C106" s="4"/>
      <c r="D106" s="4"/>
      <c r="E106" s="4"/>
    </row>
    <row r="107" spans="2:5" x14ac:dyDescent="0.3">
      <c r="B107" s="4"/>
      <c r="C107" s="4"/>
      <c r="D107" s="4"/>
      <c r="E107" s="4"/>
    </row>
    <row r="109" spans="2:5" ht="18" x14ac:dyDescent="0.35">
      <c r="B109" s="2"/>
    </row>
    <row r="111" spans="2:5" x14ac:dyDescent="0.3">
      <c r="B111" s="4"/>
      <c r="C111" s="4"/>
      <c r="D111" s="4"/>
      <c r="E111" s="4"/>
    </row>
    <row r="112" spans="2:5" x14ac:dyDescent="0.3">
      <c r="B112" s="4"/>
      <c r="C112" s="4"/>
      <c r="D112" s="4"/>
      <c r="E112" s="4"/>
    </row>
    <row r="113" spans="2:5" x14ac:dyDescent="0.3">
      <c r="B113" s="4"/>
      <c r="C113" s="4"/>
      <c r="D113" s="4"/>
      <c r="E113" s="4"/>
    </row>
    <row r="114" spans="2:5" x14ac:dyDescent="0.3">
      <c r="B114" s="4"/>
      <c r="C114" s="4"/>
      <c r="D114" s="5"/>
      <c r="E114" s="4"/>
    </row>
    <row r="116" spans="2:5" ht="18" x14ac:dyDescent="0.35">
      <c r="B116" s="2"/>
    </row>
    <row r="118" spans="2:5" x14ac:dyDescent="0.3">
      <c r="B118" s="4"/>
      <c r="C118" s="6"/>
      <c r="D118" s="6"/>
    </row>
    <row r="119" spans="2:5" x14ac:dyDescent="0.3">
      <c r="B119" s="4"/>
      <c r="C119" s="6"/>
      <c r="D119" s="6"/>
      <c r="E119" s="6"/>
    </row>
    <row r="120" spans="2:5" x14ac:dyDescent="0.3">
      <c r="B120" s="4"/>
      <c r="C120" s="6"/>
      <c r="D120" s="6"/>
      <c r="E120" s="6"/>
    </row>
    <row r="121" spans="2:5" x14ac:dyDescent="0.3">
      <c r="B121" s="4"/>
      <c r="C121" s="6"/>
      <c r="D121" s="6"/>
      <c r="E121" s="6"/>
    </row>
  </sheetData>
  <mergeCells count="23">
    <mergeCell ref="G25:G28"/>
    <mergeCell ref="A9:A12"/>
    <mergeCell ref="A13:A16"/>
    <mergeCell ref="A17:A20"/>
    <mergeCell ref="G13:G16"/>
    <mergeCell ref="G17:G20"/>
    <mergeCell ref="G21:G24"/>
    <mergeCell ref="G9:G12"/>
    <mergeCell ref="S25:S28"/>
    <mergeCell ref="M5:M8"/>
    <mergeCell ref="M9:M12"/>
    <mergeCell ref="M13:M16"/>
    <mergeCell ref="M17:M20"/>
    <mergeCell ref="M21:M24"/>
    <mergeCell ref="M25:M28"/>
    <mergeCell ref="A21:A24"/>
    <mergeCell ref="S5:S8"/>
    <mergeCell ref="S9:S12"/>
    <mergeCell ref="S13:S16"/>
    <mergeCell ref="S17:S20"/>
    <mergeCell ref="S21:S24"/>
    <mergeCell ref="A5:A8"/>
    <mergeCell ref="G5:G8"/>
  </mergeCells>
  <phoneticPr fontId="5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0DC7-C840-415F-A7C0-71F78DEC47D2}">
  <dimension ref="A2:AB120"/>
  <sheetViews>
    <sheetView zoomScale="62" workbookViewId="0">
      <selection activeCell="K42" sqref="K42"/>
    </sheetView>
  </sheetViews>
  <sheetFormatPr defaultRowHeight="14.4" x14ac:dyDescent="0.3"/>
  <cols>
    <col min="1" max="1" width="11" bestFit="1" customWidth="1"/>
    <col min="2" max="2" width="21.33203125" bestFit="1" customWidth="1"/>
    <col min="3" max="3" width="12" bestFit="1" customWidth="1"/>
    <col min="4" max="5" width="13.33203125" bestFit="1" customWidth="1"/>
    <col min="8" max="8" width="21.33203125" bestFit="1" customWidth="1"/>
    <col min="9" max="11" width="12.109375" bestFit="1" customWidth="1"/>
    <col min="14" max="14" width="21.33203125" bestFit="1" customWidth="1"/>
    <col min="15" max="15" width="17.77734375" bestFit="1" customWidth="1"/>
    <col min="16" max="16" width="12.109375" bestFit="1" customWidth="1"/>
    <col min="17" max="17" width="12.5546875" bestFit="1" customWidth="1"/>
    <col min="20" max="20" width="21.33203125" bestFit="1" customWidth="1"/>
    <col min="21" max="21" width="17.77734375" bestFit="1" customWidth="1"/>
    <col min="22" max="23" width="13.33203125" bestFit="1" customWidth="1"/>
  </cols>
  <sheetData>
    <row r="2" spans="1:28" ht="18" x14ac:dyDescent="0.35">
      <c r="B2" s="1" t="s">
        <v>0</v>
      </c>
    </row>
    <row r="3" spans="1:28" ht="18" x14ac:dyDescent="0.35">
      <c r="B3" s="2" t="s">
        <v>1</v>
      </c>
      <c r="C3" s="3" t="s">
        <v>2</v>
      </c>
      <c r="H3" s="2" t="s">
        <v>11</v>
      </c>
      <c r="N3" s="2" t="s">
        <v>12</v>
      </c>
      <c r="T3" s="2"/>
    </row>
    <row r="4" spans="1:28" x14ac:dyDescent="0.3">
      <c r="B4" t="s">
        <v>3</v>
      </c>
      <c r="C4" t="s">
        <v>4</v>
      </c>
      <c r="D4" t="s">
        <v>5</v>
      </c>
      <c r="E4" t="s">
        <v>6</v>
      </c>
      <c r="H4" t="s">
        <v>3</v>
      </c>
      <c r="I4" t="s">
        <v>4</v>
      </c>
      <c r="J4" t="s">
        <v>5</v>
      </c>
      <c r="K4" t="s">
        <v>6</v>
      </c>
      <c r="N4" t="s">
        <v>3</v>
      </c>
      <c r="O4" t="s">
        <v>4</v>
      </c>
      <c r="P4" t="s">
        <v>5</v>
      </c>
      <c r="Q4" t="s">
        <v>6</v>
      </c>
    </row>
    <row r="5" spans="1:28" x14ac:dyDescent="0.3">
      <c r="A5" s="43">
        <v>5</v>
      </c>
      <c r="B5" s="22" t="s">
        <v>7</v>
      </c>
      <c r="C5" s="22">
        <v>0.83862990000000004</v>
      </c>
      <c r="D5" s="30">
        <v>3.958917E-2</v>
      </c>
      <c r="E5" s="22">
        <v>5.1007179999999999E-2</v>
      </c>
      <c r="F5" s="23"/>
      <c r="G5" s="43"/>
      <c r="H5" s="22" t="s">
        <v>7</v>
      </c>
      <c r="I5" s="22">
        <v>0.83862990000000004</v>
      </c>
      <c r="J5" s="22">
        <v>3.958917E-2</v>
      </c>
      <c r="K5" s="22">
        <v>5.1007179999999999E-2</v>
      </c>
      <c r="L5" s="23"/>
      <c r="M5" s="47" t="s">
        <v>20</v>
      </c>
      <c r="N5" s="22" t="s">
        <v>7</v>
      </c>
      <c r="O5" s="22">
        <v>0.81579279999999998</v>
      </c>
      <c r="P5" s="22">
        <v>4.4486730000000002E-2</v>
      </c>
      <c r="Q5" s="22">
        <v>5.449706E-2</v>
      </c>
      <c r="R5" s="23"/>
      <c r="S5" s="44"/>
      <c r="T5" s="22"/>
      <c r="U5" s="23"/>
      <c r="V5" s="22"/>
      <c r="W5" s="22"/>
    </row>
    <row r="6" spans="1:28" x14ac:dyDescent="0.3">
      <c r="A6" s="44"/>
      <c r="B6" s="4" t="s">
        <v>8</v>
      </c>
      <c r="C6" s="4">
        <v>0.82067040000000002</v>
      </c>
      <c r="D6" s="4">
        <v>4.4041450000000003E-2</v>
      </c>
      <c r="E6" s="5">
        <v>5.3770720000000001E-2</v>
      </c>
      <c r="G6" s="44"/>
      <c r="H6" s="4" t="s">
        <v>8</v>
      </c>
      <c r="I6" s="4">
        <v>0.82222430000000002</v>
      </c>
      <c r="J6" s="4">
        <v>4.3391979999999997E-2</v>
      </c>
      <c r="K6" s="4">
        <v>5.353724E-2</v>
      </c>
      <c r="M6" s="48"/>
      <c r="N6" s="4" t="s">
        <v>8</v>
      </c>
      <c r="O6" s="4">
        <v>0.84630499999999997</v>
      </c>
      <c r="P6" s="5">
        <v>4.0549309999999998E-2</v>
      </c>
      <c r="Q6" s="4">
        <v>4.9779410000000003E-2</v>
      </c>
      <c r="S6" s="44"/>
      <c r="T6" s="4"/>
      <c r="U6" s="4"/>
      <c r="V6" s="4"/>
      <c r="W6" s="4"/>
      <c r="Z6" s="9"/>
      <c r="AA6" s="9"/>
      <c r="AB6" s="9"/>
    </row>
    <row r="7" spans="1:28" x14ac:dyDescent="0.3">
      <c r="A7" s="44"/>
      <c r="B7" s="4"/>
      <c r="C7" s="4"/>
      <c r="D7" s="4"/>
      <c r="E7" s="4"/>
      <c r="G7" s="44"/>
      <c r="H7" s="4"/>
      <c r="I7" s="4"/>
      <c r="J7" s="4"/>
      <c r="K7" s="4"/>
      <c r="M7" s="48"/>
      <c r="N7" s="4"/>
      <c r="O7" s="4"/>
      <c r="P7" s="4"/>
      <c r="Q7" s="4"/>
      <c r="S7" s="44"/>
      <c r="T7" s="4"/>
      <c r="U7" s="4"/>
      <c r="V7" s="4"/>
      <c r="W7" s="4"/>
      <c r="Z7" s="9"/>
    </row>
    <row r="8" spans="1:28" x14ac:dyDescent="0.3">
      <c r="A8" s="44"/>
      <c r="B8" s="4"/>
      <c r="C8" s="5"/>
      <c r="D8" s="5"/>
      <c r="E8" s="4"/>
      <c r="G8" s="44"/>
      <c r="H8" s="4"/>
      <c r="I8" s="4"/>
      <c r="J8" s="4"/>
      <c r="K8" s="5"/>
      <c r="M8" s="48"/>
      <c r="N8" s="4"/>
      <c r="O8" s="4"/>
      <c r="P8" s="4"/>
      <c r="Q8" s="4"/>
      <c r="S8" s="44"/>
      <c r="T8" s="4"/>
      <c r="U8" s="5"/>
      <c r="V8" s="4"/>
      <c r="W8" s="4"/>
      <c r="Z8" s="9"/>
    </row>
    <row r="9" spans="1:28" x14ac:dyDescent="0.3">
      <c r="A9" s="43">
        <v>6</v>
      </c>
      <c r="B9" s="22" t="s">
        <v>7</v>
      </c>
      <c r="C9" s="23">
        <v>0.83862990000000004</v>
      </c>
      <c r="D9" s="23">
        <v>3.958917E-2</v>
      </c>
      <c r="E9" s="23">
        <v>5.1007179999999999E-2</v>
      </c>
      <c r="F9" s="23"/>
      <c r="G9" s="43"/>
      <c r="H9" s="36" t="s">
        <v>7</v>
      </c>
      <c r="I9" s="23">
        <v>0.83862990000000004</v>
      </c>
      <c r="J9" s="23">
        <v>3.958917E-2</v>
      </c>
      <c r="K9" s="23">
        <v>5.1007179999999999E-2</v>
      </c>
      <c r="L9" s="23"/>
      <c r="M9" s="49" t="s">
        <v>17</v>
      </c>
      <c r="N9" s="36" t="s">
        <v>7</v>
      </c>
      <c r="O9" s="23">
        <v>0.83862990000000004</v>
      </c>
      <c r="P9" s="23">
        <v>3.958917E-2</v>
      </c>
      <c r="Q9" s="23">
        <v>5.1007179999999999E-2</v>
      </c>
      <c r="R9" s="23"/>
      <c r="S9" s="44"/>
      <c r="T9" s="22"/>
      <c r="U9" s="23"/>
      <c r="V9" s="22"/>
      <c r="W9" s="22"/>
      <c r="Z9" s="9"/>
    </row>
    <row r="10" spans="1:28" x14ac:dyDescent="0.3">
      <c r="A10" s="44"/>
      <c r="B10" s="4" t="s">
        <v>8</v>
      </c>
      <c r="C10">
        <v>0.88180270000000005</v>
      </c>
      <c r="D10">
        <v>3.3912379999999999E-2</v>
      </c>
      <c r="E10">
        <v>4.3653949999999997E-2</v>
      </c>
      <c r="G10" s="44"/>
      <c r="H10" s="14" t="s">
        <v>8</v>
      </c>
      <c r="I10">
        <v>0.88261690000000004</v>
      </c>
      <c r="J10">
        <v>3.3221870000000001E-2</v>
      </c>
      <c r="K10">
        <v>4.0330009999999999E-2</v>
      </c>
      <c r="M10" s="50"/>
      <c r="N10" s="14" t="s">
        <v>8</v>
      </c>
      <c r="O10">
        <v>0.880324</v>
      </c>
      <c r="P10">
        <v>3.3779120000000003E-2</v>
      </c>
      <c r="Q10">
        <v>4.3926180000000002E-2</v>
      </c>
      <c r="S10" s="44"/>
      <c r="T10" s="4"/>
      <c r="U10" s="4"/>
      <c r="V10" s="4"/>
      <c r="W10" s="4"/>
      <c r="Z10" s="8"/>
    </row>
    <row r="11" spans="1:28" x14ac:dyDescent="0.3">
      <c r="A11" s="44"/>
      <c r="B11" s="4"/>
      <c r="G11" s="44"/>
      <c r="H11" s="11" t="s">
        <v>21</v>
      </c>
      <c r="M11" s="50"/>
      <c r="N11" s="11" t="s">
        <v>21</v>
      </c>
      <c r="S11" s="44"/>
      <c r="T11" s="4"/>
      <c r="U11" s="4"/>
      <c r="V11" s="4"/>
      <c r="W11" s="4"/>
      <c r="Z11" s="9"/>
    </row>
    <row r="12" spans="1:28" x14ac:dyDescent="0.3">
      <c r="A12" s="45"/>
      <c r="B12" s="20"/>
      <c r="C12" s="32"/>
      <c r="D12" s="32"/>
      <c r="E12" s="32"/>
      <c r="F12" s="32"/>
      <c r="G12" s="45"/>
      <c r="H12" s="33" t="s">
        <v>21</v>
      </c>
      <c r="I12" s="32"/>
      <c r="J12" s="32"/>
      <c r="K12" s="32"/>
      <c r="L12" s="32"/>
      <c r="M12" s="51"/>
      <c r="N12" s="33" t="s">
        <v>21</v>
      </c>
      <c r="O12" s="32"/>
      <c r="P12" s="32"/>
      <c r="Q12" s="32"/>
      <c r="R12" s="32"/>
      <c r="S12" s="44"/>
      <c r="T12" s="20"/>
      <c r="U12" s="21"/>
      <c r="V12" s="21"/>
      <c r="W12" s="20"/>
      <c r="Z12" s="9"/>
    </row>
    <row r="13" spans="1:28" x14ac:dyDescent="0.3">
      <c r="A13" s="44">
        <v>7</v>
      </c>
      <c r="B13" s="4" t="s">
        <v>7</v>
      </c>
      <c r="C13" s="4">
        <v>0.83862990000000004</v>
      </c>
      <c r="D13" s="4">
        <v>3.958917E-2</v>
      </c>
      <c r="E13" s="4">
        <v>5.1007179999999999E-2</v>
      </c>
      <c r="G13" s="46"/>
      <c r="H13" s="39" t="s">
        <v>7</v>
      </c>
      <c r="I13" s="40">
        <v>0.83862990000000004</v>
      </c>
      <c r="J13" s="40">
        <v>3.958917E-2</v>
      </c>
      <c r="K13" s="41">
        <v>5.1007179999999999E-2</v>
      </c>
      <c r="M13" s="48" t="s">
        <v>14</v>
      </c>
      <c r="N13" s="4" t="s">
        <v>7</v>
      </c>
      <c r="O13" s="4">
        <v>0.83862990000000004</v>
      </c>
      <c r="P13" s="4">
        <v>3.958917E-2</v>
      </c>
      <c r="Q13" s="5">
        <v>5.1007179999999999E-2</v>
      </c>
      <c r="S13" s="44"/>
      <c r="T13" s="22"/>
      <c r="U13" s="22"/>
      <c r="V13" s="22"/>
      <c r="W13" s="22"/>
      <c r="Z13" s="9"/>
    </row>
    <row r="14" spans="1:28" x14ac:dyDescent="0.3">
      <c r="A14" s="44"/>
      <c r="B14" s="4" t="s">
        <v>8</v>
      </c>
      <c r="C14" s="4">
        <v>0.89959599999999995</v>
      </c>
      <c r="D14" s="4">
        <v>3.1721680000000002E-2</v>
      </c>
      <c r="E14" s="4">
        <v>4.0234199999999998E-2</v>
      </c>
      <c r="G14" s="46"/>
      <c r="H14" s="14" t="s">
        <v>8</v>
      </c>
      <c r="I14" s="15">
        <v>0.87989600000000001</v>
      </c>
      <c r="J14" s="15">
        <v>3.3504340000000001E-2</v>
      </c>
      <c r="K14" s="16">
        <v>4.1154509999999998E-2</v>
      </c>
      <c r="M14" s="48"/>
      <c r="N14" s="4" t="s">
        <v>8</v>
      </c>
      <c r="O14" s="4">
        <v>0.89495020000000003</v>
      </c>
      <c r="P14" s="4">
        <v>3.2232629999999998E-2</v>
      </c>
      <c r="Q14" s="4">
        <v>4.1154509999999998E-2</v>
      </c>
      <c r="S14" s="44"/>
      <c r="T14" s="4"/>
      <c r="U14" s="4"/>
      <c r="V14" s="4"/>
      <c r="W14" s="5"/>
      <c r="Z14" s="9"/>
    </row>
    <row r="15" spans="1:28" x14ac:dyDescent="0.3">
      <c r="A15" s="44"/>
      <c r="B15" s="4" t="s">
        <v>21</v>
      </c>
      <c r="C15" s="4"/>
      <c r="D15" s="4"/>
      <c r="E15" s="4"/>
      <c r="G15" s="46"/>
      <c r="H15" s="11" t="s">
        <v>21</v>
      </c>
      <c r="I15" s="12"/>
      <c r="J15" s="12"/>
      <c r="K15" s="13"/>
      <c r="M15" s="48"/>
      <c r="N15" s="4" t="s">
        <v>21</v>
      </c>
      <c r="O15" s="4"/>
      <c r="P15" s="4"/>
      <c r="Q15" s="4"/>
      <c r="S15" s="44"/>
      <c r="T15" s="4"/>
      <c r="U15" s="4"/>
      <c r="V15" s="4"/>
      <c r="W15" s="4"/>
      <c r="Z15" s="8"/>
    </row>
    <row r="16" spans="1:28" x14ac:dyDescent="0.3">
      <c r="A16" s="44"/>
      <c r="B16" s="4" t="s">
        <v>21</v>
      </c>
      <c r="C16" s="4"/>
      <c r="D16" s="4"/>
      <c r="E16" s="4"/>
      <c r="G16" s="46"/>
      <c r="H16" s="17" t="s">
        <v>21</v>
      </c>
      <c r="I16" s="18"/>
      <c r="J16" s="18"/>
      <c r="K16" s="19"/>
      <c r="M16" s="48"/>
      <c r="N16" s="4" t="s">
        <v>21</v>
      </c>
      <c r="O16" s="4"/>
      <c r="P16" s="4"/>
      <c r="Q16" s="4"/>
      <c r="S16" s="44"/>
      <c r="T16" s="20"/>
      <c r="U16" s="20"/>
      <c r="V16" s="20"/>
      <c r="W16" s="20"/>
      <c r="Z16" s="9"/>
    </row>
    <row r="17" spans="1:25" x14ac:dyDescent="0.3">
      <c r="A17" s="43">
        <v>8</v>
      </c>
      <c r="B17" s="22" t="s">
        <v>7</v>
      </c>
      <c r="C17" s="23">
        <v>0.83862990000000004</v>
      </c>
      <c r="D17" s="23">
        <v>3.958917E-2</v>
      </c>
      <c r="E17" s="23">
        <v>5.1007179999999999E-2</v>
      </c>
      <c r="F17" s="23"/>
      <c r="G17" s="54"/>
      <c r="H17" s="36" t="s">
        <v>7</v>
      </c>
      <c r="I17" s="23">
        <v>0.83862990000000004</v>
      </c>
      <c r="J17" s="23">
        <v>3.958917E-2</v>
      </c>
      <c r="K17" s="23">
        <v>5.1007179999999999E-2</v>
      </c>
      <c r="L17" s="23"/>
      <c r="M17" s="49" t="s">
        <v>18</v>
      </c>
      <c r="N17" s="36" t="s">
        <v>7</v>
      </c>
      <c r="O17" s="23">
        <v>0.83862990000000004</v>
      </c>
      <c r="P17" s="23">
        <v>3.958917E-2</v>
      </c>
      <c r="Q17" s="23">
        <v>5.1007179999999999E-2</v>
      </c>
      <c r="R17" s="23"/>
      <c r="S17" s="46"/>
      <c r="T17" s="25"/>
      <c r="U17" s="25"/>
      <c r="V17" s="23"/>
      <c r="Y17" s="9"/>
    </row>
    <row r="18" spans="1:25" x14ac:dyDescent="0.3">
      <c r="A18" s="44"/>
      <c r="B18" s="4" t="s">
        <v>8</v>
      </c>
      <c r="C18">
        <v>0.89132420000000001</v>
      </c>
      <c r="D18">
        <v>3.1943439999999997E-2</v>
      </c>
      <c r="E18">
        <v>4.185875E-2</v>
      </c>
      <c r="G18" s="46"/>
      <c r="H18" s="14" t="s">
        <v>8</v>
      </c>
      <c r="I18">
        <v>0.89450499999999999</v>
      </c>
      <c r="J18">
        <v>3.1854540000000001E-2</v>
      </c>
      <c r="K18">
        <v>4.0330009999999999E-2</v>
      </c>
      <c r="M18" s="50"/>
      <c r="N18" s="14" t="s">
        <v>8</v>
      </c>
      <c r="O18">
        <v>0.89911719999999995</v>
      </c>
      <c r="P18">
        <v>3.176168E-2</v>
      </c>
      <c r="Q18">
        <v>4.0330009999999999E-2</v>
      </c>
      <c r="S18" s="46"/>
      <c r="T18" s="6"/>
      <c r="U18" s="6"/>
      <c r="V18" s="6"/>
      <c r="Y18" s="9"/>
    </row>
    <row r="19" spans="1:25" x14ac:dyDescent="0.3">
      <c r="A19" s="44"/>
      <c r="B19" s="4" t="s">
        <v>21</v>
      </c>
      <c r="G19" s="46"/>
      <c r="H19" s="11" t="s">
        <v>21</v>
      </c>
      <c r="M19" s="50"/>
      <c r="N19" s="11" t="s">
        <v>21</v>
      </c>
      <c r="S19" s="46"/>
      <c r="T19" s="6"/>
      <c r="U19" s="6"/>
      <c r="V19" s="6"/>
      <c r="Y19" s="10"/>
    </row>
    <row r="20" spans="1:25" x14ac:dyDescent="0.3">
      <c r="A20" s="45"/>
      <c r="B20" s="20" t="s">
        <v>21</v>
      </c>
      <c r="C20" s="32"/>
      <c r="D20" s="32"/>
      <c r="E20" s="32"/>
      <c r="F20" s="32"/>
      <c r="G20" s="53"/>
      <c r="H20" s="33" t="s">
        <v>21</v>
      </c>
      <c r="I20" s="32">
        <v>0.80846399999999996</v>
      </c>
      <c r="J20" s="32">
        <v>4.4896980000000003E-2</v>
      </c>
      <c r="K20" s="32">
        <v>5.4795299999999998E-2</v>
      </c>
      <c r="L20" s="32"/>
      <c r="M20" s="51"/>
      <c r="N20" s="33" t="s">
        <v>21</v>
      </c>
      <c r="O20" s="32"/>
      <c r="P20" s="32"/>
      <c r="Q20" s="32"/>
      <c r="R20" s="32"/>
      <c r="S20" s="46"/>
      <c r="T20" s="29"/>
      <c r="U20" s="29"/>
      <c r="V20" s="29"/>
      <c r="Y20" s="9"/>
    </row>
    <row r="21" spans="1:25" x14ac:dyDescent="0.3">
      <c r="A21" s="43" t="s">
        <v>15</v>
      </c>
      <c r="B21" s="22" t="s">
        <v>7</v>
      </c>
      <c r="C21" s="22">
        <v>0.83862990000000004</v>
      </c>
      <c r="D21" s="22">
        <v>3.958917E-2</v>
      </c>
      <c r="E21" s="22">
        <v>5.1007179999999999E-2</v>
      </c>
      <c r="F21" s="23"/>
      <c r="G21" s="54"/>
      <c r="H21" s="36" t="s">
        <v>7</v>
      </c>
      <c r="I21" s="37">
        <v>0.83862990000000004</v>
      </c>
      <c r="J21" s="37">
        <v>3.958917E-2</v>
      </c>
      <c r="K21" s="38">
        <v>5.1007179999999999E-2</v>
      </c>
      <c r="L21" s="23"/>
      <c r="M21" s="47" t="s">
        <v>15</v>
      </c>
      <c r="N21" s="22" t="s">
        <v>7</v>
      </c>
      <c r="O21" s="22">
        <v>0.83862990000000004</v>
      </c>
      <c r="P21" s="22">
        <v>3.958917E-2</v>
      </c>
      <c r="Q21" s="22">
        <v>5.1007179999999999E-2</v>
      </c>
      <c r="R21" s="23"/>
      <c r="S21" s="44"/>
      <c r="T21" s="22"/>
      <c r="U21" s="23"/>
      <c r="V21" s="22"/>
      <c r="W21" s="22"/>
    </row>
    <row r="22" spans="1:25" x14ac:dyDescent="0.3">
      <c r="A22" s="44"/>
      <c r="B22" s="4" t="s">
        <v>8</v>
      </c>
      <c r="C22" s="4">
        <v>0.88781529999999997</v>
      </c>
      <c r="D22" s="4">
        <v>3.273276E-2</v>
      </c>
      <c r="E22" s="4">
        <v>4.2529150000000002E-2</v>
      </c>
      <c r="G22" s="46"/>
      <c r="H22" s="14" t="s">
        <v>8</v>
      </c>
      <c r="I22" s="15">
        <v>0.89831919999999998</v>
      </c>
      <c r="J22" s="15">
        <v>3.1021320000000002E-2</v>
      </c>
      <c r="K22" s="16">
        <v>5.3770720000000001E-2</v>
      </c>
      <c r="M22" s="48"/>
      <c r="N22" s="4" t="s">
        <v>8</v>
      </c>
      <c r="O22" s="4">
        <v>0.89962319999999996</v>
      </c>
      <c r="P22" s="4">
        <v>3.1016579999999998E-2</v>
      </c>
      <c r="Q22" s="4">
        <v>4.0228739999999999E-2</v>
      </c>
      <c r="S22" s="44"/>
      <c r="T22" s="4"/>
      <c r="U22" s="4"/>
      <c r="V22" s="4"/>
      <c r="W22" s="4"/>
    </row>
    <row r="23" spans="1:25" x14ac:dyDescent="0.3">
      <c r="A23" s="44"/>
      <c r="B23" s="4" t="s">
        <v>21</v>
      </c>
      <c r="C23" s="4"/>
      <c r="D23" s="4"/>
      <c r="E23" s="4"/>
      <c r="G23" s="46"/>
      <c r="H23" s="11" t="s">
        <v>21</v>
      </c>
      <c r="I23" s="12"/>
      <c r="J23" s="12"/>
      <c r="K23" s="13"/>
      <c r="M23" s="48"/>
      <c r="N23" s="4" t="s">
        <v>21</v>
      </c>
      <c r="O23" s="4"/>
      <c r="P23" s="4"/>
      <c r="Q23" s="4"/>
      <c r="S23" s="44"/>
      <c r="T23" s="4"/>
      <c r="U23" s="4"/>
      <c r="V23" s="4"/>
      <c r="W23" s="4"/>
    </row>
    <row r="24" spans="1:25" x14ac:dyDescent="0.3">
      <c r="A24" s="45"/>
      <c r="B24" s="20" t="s">
        <v>21</v>
      </c>
      <c r="C24" s="20"/>
      <c r="D24" s="20"/>
      <c r="E24" s="20"/>
      <c r="F24" s="32"/>
      <c r="G24" s="53"/>
      <c r="H24" s="33" t="s">
        <v>21</v>
      </c>
      <c r="I24" s="34"/>
      <c r="J24" s="34"/>
      <c r="K24" s="35"/>
      <c r="L24" s="32"/>
      <c r="M24" s="52"/>
      <c r="N24" s="20" t="s">
        <v>21</v>
      </c>
      <c r="O24" s="20"/>
      <c r="P24" s="21"/>
      <c r="Q24" s="32"/>
      <c r="R24" s="32"/>
      <c r="S24" s="44"/>
      <c r="T24" s="20"/>
      <c r="U24" s="21"/>
      <c r="V24" s="21"/>
      <c r="W24" s="20"/>
    </row>
    <row r="25" spans="1:25" x14ac:dyDescent="0.3">
      <c r="A25" s="7" t="s">
        <v>16</v>
      </c>
      <c r="B25" s="4" t="s">
        <v>7</v>
      </c>
      <c r="C25" s="4">
        <v>0.83862990000000004</v>
      </c>
      <c r="D25" s="5">
        <v>3.958917E-2</v>
      </c>
      <c r="E25" s="5">
        <v>5.1007179999999999E-2</v>
      </c>
      <c r="G25" s="46"/>
      <c r="H25" s="39" t="s">
        <v>7</v>
      </c>
      <c r="I25" s="40">
        <v>0.83862990000000004</v>
      </c>
      <c r="J25" s="40">
        <v>3.958917E-2</v>
      </c>
      <c r="K25" s="41">
        <v>5.1007179999999999E-2</v>
      </c>
      <c r="M25" s="48" t="s">
        <v>19</v>
      </c>
      <c r="N25" s="4" t="s">
        <v>7</v>
      </c>
      <c r="O25" s="4">
        <v>0.83862990000000004</v>
      </c>
      <c r="P25" s="4">
        <v>3.958917E-2</v>
      </c>
      <c r="Q25" s="4">
        <v>5.1007179999999999E-2</v>
      </c>
      <c r="S25" s="44"/>
      <c r="T25" s="22"/>
      <c r="U25" s="25"/>
      <c r="V25" s="25"/>
      <c r="W25" s="23"/>
    </row>
    <row r="26" spans="1:25" x14ac:dyDescent="0.3">
      <c r="A26" s="7"/>
      <c r="B26" s="4" t="s">
        <v>8</v>
      </c>
      <c r="C26" s="4">
        <v>0.88979439999999999</v>
      </c>
      <c r="D26" s="4">
        <v>3.2523330000000003E-2</v>
      </c>
      <c r="E26" s="5">
        <v>4.2152340000000003E-2</v>
      </c>
      <c r="G26" s="46"/>
      <c r="H26" s="14" t="s">
        <v>8</v>
      </c>
      <c r="I26" s="15">
        <v>0.8982078</v>
      </c>
      <c r="J26" s="15">
        <v>3.1454929999999999E-2</v>
      </c>
      <c r="K26" s="16">
        <v>4.3455870000000001E-2</v>
      </c>
      <c r="M26" s="48"/>
      <c r="N26" s="4" t="s">
        <v>8</v>
      </c>
      <c r="O26" s="4">
        <v>0.90014839999999996</v>
      </c>
      <c r="P26" s="4">
        <v>3.097975E-2</v>
      </c>
      <c r="Q26" s="4">
        <v>4.0123369999999998E-2</v>
      </c>
      <c r="S26" s="44"/>
      <c r="T26" s="4"/>
      <c r="U26" s="6"/>
      <c r="V26" s="6"/>
      <c r="W26" s="6"/>
    </row>
    <row r="27" spans="1:25" x14ac:dyDescent="0.3">
      <c r="A27" s="7"/>
      <c r="B27" s="4"/>
      <c r="C27" s="4"/>
      <c r="D27" s="4"/>
      <c r="E27" s="4"/>
      <c r="G27" s="46"/>
      <c r="H27" s="11"/>
      <c r="I27" s="12"/>
      <c r="J27" s="12"/>
      <c r="K27" s="13"/>
      <c r="M27" s="48"/>
      <c r="N27" s="4" t="s">
        <v>21</v>
      </c>
      <c r="O27" s="4"/>
      <c r="P27" s="4"/>
      <c r="Q27" s="4"/>
      <c r="S27" s="44"/>
      <c r="T27" s="4"/>
      <c r="U27" s="6"/>
      <c r="V27" s="6"/>
      <c r="W27" s="6"/>
    </row>
    <row r="28" spans="1:25" x14ac:dyDescent="0.3">
      <c r="A28" s="31"/>
      <c r="B28" s="20"/>
      <c r="C28" s="20"/>
      <c r="D28" s="20"/>
      <c r="E28" s="20"/>
      <c r="F28" s="32"/>
      <c r="G28" s="53"/>
      <c r="H28" s="33"/>
      <c r="I28" s="34"/>
      <c r="J28" s="34"/>
      <c r="K28" s="35"/>
      <c r="L28" s="32"/>
      <c r="M28" s="52"/>
      <c r="N28" s="20" t="s">
        <v>21</v>
      </c>
      <c r="O28" s="20"/>
      <c r="P28" s="21"/>
      <c r="Q28" s="20"/>
      <c r="R28" s="32"/>
      <c r="S28" s="44"/>
      <c r="T28" s="20"/>
      <c r="U28" s="29"/>
      <c r="V28" s="29"/>
      <c r="W28" s="29"/>
    </row>
    <row r="30" spans="1:25" x14ac:dyDescent="0.3">
      <c r="A30" s="9"/>
      <c r="H30" s="8"/>
      <c r="N30" s="9"/>
    </row>
    <row r="31" spans="1:25" x14ac:dyDescent="0.3">
      <c r="A31" s="9"/>
      <c r="H31" s="9"/>
      <c r="N31" s="9"/>
    </row>
    <row r="32" spans="1:25" x14ac:dyDescent="0.3">
      <c r="A32" s="9"/>
      <c r="H32" s="9"/>
      <c r="N32" s="9"/>
    </row>
    <row r="33" spans="1:14" x14ac:dyDescent="0.3">
      <c r="A33" s="10"/>
      <c r="H33" s="9"/>
      <c r="N33" s="8"/>
    </row>
    <row r="34" spans="1:14" x14ac:dyDescent="0.3">
      <c r="H34" s="9"/>
      <c r="N34" s="9"/>
    </row>
    <row r="35" spans="1:14" x14ac:dyDescent="0.3">
      <c r="H35" s="8"/>
      <c r="N35" s="9"/>
    </row>
    <row r="36" spans="1:14" x14ac:dyDescent="0.3">
      <c r="B36" s="9"/>
      <c r="H36" s="9"/>
      <c r="N36" s="9"/>
    </row>
    <row r="37" spans="1:14" x14ac:dyDescent="0.3">
      <c r="B37" s="9"/>
      <c r="H37" s="9"/>
      <c r="N37" s="9"/>
    </row>
    <row r="38" spans="1:14" x14ac:dyDescent="0.3">
      <c r="B38" s="9"/>
      <c r="E38" s="4"/>
      <c r="H38" s="9"/>
      <c r="N38" s="10"/>
    </row>
    <row r="39" spans="1:14" ht="24" x14ac:dyDescent="0.3">
      <c r="B39" s="8"/>
      <c r="H39" s="42" t="s">
        <v>22</v>
      </c>
    </row>
    <row r="44" spans="1:14" x14ac:dyDescent="0.3">
      <c r="E44" s="4"/>
    </row>
    <row r="45" spans="1:14" x14ac:dyDescent="0.3">
      <c r="D45" s="4"/>
      <c r="E45" s="4"/>
    </row>
    <row r="46" spans="1:14" x14ac:dyDescent="0.3">
      <c r="D46" s="4"/>
      <c r="E46" s="4"/>
    </row>
    <row r="50" spans="2:5" x14ac:dyDescent="0.3">
      <c r="D50" s="4"/>
      <c r="E50" s="5"/>
    </row>
    <row r="51" spans="2:5" x14ac:dyDescent="0.3">
      <c r="D51" s="4"/>
      <c r="E51" s="4"/>
    </row>
    <row r="52" spans="2:5" x14ac:dyDescent="0.3">
      <c r="D52" s="4"/>
      <c r="E52" s="4"/>
    </row>
    <row r="53" spans="2:5" x14ac:dyDescent="0.3">
      <c r="D53" s="4"/>
      <c r="E53" s="4"/>
    </row>
    <row r="57" spans="2:5" x14ac:dyDescent="0.3">
      <c r="B57" s="4"/>
      <c r="C57" s="4"/>
      <c r="D57" s="4"/>
      <c r="E57" s="4"/>
    </row>
    <row r="58" spans="2:5" x14ac:dyDescent="0.3">
      <c r="B58" s="4"/>
      <c r="C58" s="4"/>
      <c r="D58" s="4"/>
      <c r="E58" s="5"/>
    </row>
    <row r="59" spans="2:5" x14ac:dyDescent="0.3">
      <c r="B59" s="4"/>
      <c r="C59" s="4"/>
      <c r="D59" s="4"/>
      <c r="E59" s="4"/>
    </row>
    <row r="60" spans="2:5" x14ac:dyDescent="0.3">
      <c r="B60" s="4"/>
      <c r="C60" s="4"/>
      <c r="D60" s="4"/>
      <c r="E60" s="4"/>
    </row>
    <row r="62" spans="2:5" ht="18" x14ac:dyDescent="0.35">
      <c r="B62" s="1"/>
    </row>
    <row r="64" spans="2:5" ht="18" x14ac:dyDescent="0.35">
      <c r="B64" s="2"/>
    </row>
    <row r="66" spans="2:5" x14ac:dyDescent="0.3">
      <c r="B66" s="4"/>
      <c r="C66" s="4"/>
      <c r="D66" s="4"/>
      <c r="E66" s="4"/>
    </row>
    <row r="67" spans="2:5" x14ac:dyDescent="0.3">
      <c r="B67" s="4"/>
      <c r="C67" s="4"/>
      <c r="D67" s="4"/>
      <c r="E67" s="4"/>
    </row>
    <row r="68" spans="2:5" x14ac:dyDescent="0.3">
      <c r="B68" s="4"/>
      <c r="C68" s="4"/>
      <c r="D68" s="4"/>
      <c r="E68" s="4"/>
    </row>
    <row r="69" spans="2:5" x14ac:dyDescent="0.3">
      <c r="B69" s="4"/>
      <c r="C69" s="4"/>
      <c r="D69" s="4"/>
      <c r="E69" s="4"/>
    </row>
    <row r="71" spans="2:5" ht="18" x14ac:dyDescent="0.35">
      <c r="B71" s="2"/>
    </row>
    <row r="73" spans="2:5" x14ac:dyDescent="0.3">
      <c r="B73" s="4"/>
      <c r="C73" s="4"/>
      <c r="D73" s="4"/>
      <c r="E73" s="4"/>
    </row>
    <row r="74" spans="2:5" x14ac:dyDescent="0.3">
      <c r="B74" s="4"/>
      <c r="C74" s="4"/>
      <c r="D74" s="4"/>
      <c r="E74" s="4"/>
    </row>
    <row r="75" spans="2:5" x14ac:dyDescent="0.3">
      <c r="B75" s="4"/>
      <c r="C75" s="4"/>
      <c r="D75" s="4"/>
      <c r="E75" s="4"/>
    </row>
    <row r="76" spans="2:5" x14ac:dyDescent="0.3">
      <c r="B76" s="4"/>
      <c r="C76" s="4"/>
      <c r="D76" s="4"/>
      <c r="E76" s="4"/>
    </row>
    <row r="78" spans="2:5" ht="18" x14ac:dyDescent="0.35">
      <c r="B78" s="2"/>
    </row>
    <row r="80" spans="2:5" x14ac:dyDescent="0.3">
      <c r="B80" s="4"/>
      <c r="C80" s="4"/>
      <c r="D80" s="4"/>
      <c r="E80" s="4"/>
    </row>
    <row r="81" spans="2:5" x14ac:dyDescent="0.3">
      <c r="B81" s="4"/>
      <c r="C81" s="4"/>
      <c r="D81" s="4"/>
      <c r="E81" s="4"/>
    </row>
    <row r="82" spans="2:5" x14ac:dyDescent="0.3">
      <c r="B82" s="4"/>
      <c r="C82" s="4"/>
      <c r="D82" s="4"/>
      <c r="E82" s="4"/>
    </row>
    <row r="83" spans="2:5" x14ac:dyDescent="0.3">
      <c r="B83" s="4"/>
      <c r="C83" s="4"/>
      <c r="D83" s="5"/>
    </row>
    <row r="85" spans="2:5" ht="18" x14ac:dyDescent="0.35">
      <c r="B85" s="2"/>
    </row>
    <row r="87" spans="2:5" x14ac:dyDescent="0.3">
      <c r="B87" s="4"/>
      <c r="D87" s="4"/>
      <c r="E87" s="4"/>
    </row>
    <row r="88" spans="2:5" x14ac:dyDescent="0.3">
      <c r="B88" s="4"/>
      <c r="C88" s="4"/>
      <c r="D88" s="4"/>
      <c r="E88" s="4"/>
    </row>
    <row r="89" spans="2:5" x14ac:dyDescent="0.3">
      <c r="B89" s="4"/>
      <c r="C89" s="4"/>
      <c r="D89" s="4"/>
      <c r="E89" s="4"/>
    </row>
    <row r="90" spans="2:5" x14ac:dyDescent="0.3">
      <c r="B90" s="4"/>
      <c r="C90" s="5"/>
      <c r="D90" s="5"/>
      <c r="E90" s="4"/>
    </row>
    <row r="92" spans="2:5" ht="18" x14ac:dyDescent="0.35">
      <c r="B92" s="1"/>
    </row>
    <row r="94" spans="2:5" ht="18" x14ac:dyDescent="0.35">
      <c r="B94" s="2"/>
    </row>
    <row r="96" spans="2:5" x14ac:dyDescent="0.3">
      <c r="B96" s="4"/>
      <c r="C96" s="4"/>
      <c r="D96" s="5"/>
      <c r="E96" s="5"/>
    </row>
    <row r="97" spans="2:5" x14ac:dyDescent="0.3">
      <c r="B97" s="4"/>
      <c r="C97" s="4"/>
      <c r="D97" s="4"/>
      <c r="E97" s="5"/>
    </row>
    <row r="98" spans="2:5" x14ac:dyDescent="0.3">
      <c r="B98" s="4"/>
      <c r="C98" s="4"/>
      <c r="D98" s="4"/>
      <c r="E98" s="4"/>
    </row>
    <row r="99" spans="2:5" x14ac:dyDescent="0.3">
      <c r="B99" s="4"/>
      <c r="C99" s="4"/>
      <c r="D99" s="4"/>
      <c r="E99" s="4"/>
    </row>
    <row r="101" spans="2:5" ht="18" x14ac:dyDescent="0.35">
      <c r="B101" s="2"/>
    </row>
    <row r="103" spans="2:5" x14ac:dyDescent="0.3">
      <c r="B103" s="4"/>
      <c r="C103" s="4"/>
      <c r="D103" s="4"/>
      <c r="E103" s="4"/>
    </row>
    <row r="104" spans="2:5" x14ac:dyDescent="0.3">
      <c r="B104" s="4"/>
      <c r="C104" s="4"/>
      <c r="D104" s="4"/>
      <c r="E104" s="4"/>
    </row>
    <row r="105" spans="2:5" x14ac:dyDescent="0.3">
      <c r="B105" s="4"/>
      <c r="C105" s="4"/>
      <c r="D105" s="4"/>
      <c r="E105" s="4"/>
    </row>
    <row r="106" spans="2:5" x14ac:dyDescent="0.3">
      <c r="B106" s="4"/>
      <c r="C106" s="4"/>
      <c r="D106" s="4"/>
      <c r="E106" s="4"/>
    </row>
    <row r="108" spans="2:5" ht="18" x14ac:dyDescent="0.35">
      <c r="B108" s="2"/>
    </row>
    <row r="110" spans="2:5" x14ac:dyDescent="0.3">
      <c r="B110" s="4"/>
      <c r="C110" s="4"/>
      <c r="D110" s="4"/>
      <c r="E110" s="4"/>
    </row>
    <row r="111" spans="2:5" x14ac:dyDescent="0.3">
      <c r="B111" s="4"/>
      <c r="C111" s="4"/>
      <c r="D111" s="4"/>
      <c r="E111" s="4"/>
    </row>
    <row r="112" spans="2:5" x14ac:dyDescent="0.3">
      <c r="B112" s="4"/>
      <c r="C112" s="4"/>
      <c r="D112" s="4"/>
      <c r="E112" s="4"/>
    </row>
    <row r="113" spans="2:5" x14ac:dyDescent="0.3">
      <c r="B113" s="4"/>
      <c r="C113" s="4"/>
      <c r="D113" s="5"/>
      <c r="E113" s="4"/>
    </row>
    <row r="115" spans="2:5" ht="18" x14ac:dyDescent="0.35">
      <c r="B115" s="2"/>
    </row>
    <row r="117" spans="2:5" x14ac:dyDescent="0.3">
      <c r="B117" s="4"/>
      <c r="C117" s="6"/>
      <c r="D117" s="6"/>
    </row>
    <row r="118" spans="2:5" x14ac:dyDescent="0.3">
      <c r="B118" s="4"/>
      <c r="C118" s="6"/>
      <c r="D118" s="6"/>
      <c r="E118" s="6"/>
    </row>
    <row r="119" spans="2:5" x14ac:dyDescent="0.3">
      <c r="B119" s="4"/>
      <c r="C119" s="6"/>
      <c r="D119" s="6"/>
      <c r="E119" s="6"/>
    </row>
    <row r="120" spans="2:5" x14ac:dyDescent="0.3">
      <c r="B120" s="4"/>
      <c r="C120" s="6"/>
      <c r="D120" s="6"/>
      <c r="E120" s="6"/>
    </row>
  </sheetData>
  <mergeCells count="23">
    <mergeCell ref="A5:A8"/>
    <mergeCell ref="G5:G8"/>
    <mergeCell ref="M5:M8"/>
    <mergeCell ref="S5:S8"/>
    <mergeCell ref="A9:A12"/>
    <mergeCell ref="G9:G12"/>
    <mergeCell ref="M9:M12"/>
    <mergeCell ref="S9:S12"/>
    <mergeCell ref="A13:A16"/>
    <mergeCell ref="G13:G16"/>
    <mergeCell ref="M13:M16"/>
    <mergeCell ref="S13:S16"/>
    <mergeCell ref="A17:A20"/>
    <mergeCell ref="G17:G20"/>
    <mergeCell ref="M17:M20"/>
    <mergeCell ref="S17:S20"/>
    <mergeCell ref="A21:A24"/>
    <mergeCell ref="G21:G24"/>
    <mergeCell ref="M21:M24"/>
    <mergeCell ref="S21:S24"/>
    <mergeCell ref="G25:G28"/>
    <mergeCell ref="M25:M28"/>
    <mergeCell ref="S25:S28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P</dc:creator>
  <cp:lastModifiedBy>Arya P</cp:lastModifiedBy>
  <dcterms:created xsi:type="dcterms:W3CDTF">2024-04-07T08:18:30Z</dcterms:created>
  <dcterms:modified xsi:type="dcterms:W3CDTF">2025-11-04T16:55:50Z</dcterms:modified>
</cp:coreProperties>
</file>